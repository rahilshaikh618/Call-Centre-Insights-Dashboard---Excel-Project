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hidePivotFieldList="1"/>
  <mc:AlternateContent xmlns:mc="http://schemas.openxmlformats.org/markup-compatibility/2006">
    <mc:Choice Requires="x15">
      <x15ac:absPath xmlns:x15ac="http://schemas.microsoft.com/office/spreadsheetml/2010/11/ac" url="C:\Users\Rahil Shaikh\Desktop\desktop\Portfolio Project\Project Two\"/>
    </mc:Choice>
  </mc:AlternateContent>
  <xr:revisionPtr revIDLastSave="0" documentId="13_ncr:1_{8889BBAA-7207-41D2-99F8-55813056A2E1}" xr6:coauthVersionLast="47" xr6:coauthVersionMax="47" xr10:uidLastSave="{00000000-0000-0000-0000-000000000000}"/>
  <bookViews>
    <workbookView xWindow="-108" yWindow="-108" windowWidth="23256" windowHeight="12456" activeTab="2" xr2:uid="{26D4546B-D2A1-4444-8EAF-A6228F96F0C1}"/>
  </bookViews>
  <sheets>
    <sheet name="Data" sheetId="2" r:id="rId1"/>
    <sheet name="Pivots" sheetId="6" r:id="rId2"/>
    <sheet name="Customer Center Report" sheetId="5" r:id="rId3"/>
  </sheets>
  <definedNames>
    <definedName name="_xlnm._FilterDatabase" localSheetId="0"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91029"/>
  <pivotCaches>
    <pivotCache cacheId="5" r:id="rId4"/>
    <pivotCache cacheId="6" r:id="rId5"/>
    <pivotCache cacheId="7" r:id="rId6"/>
    <pivotCache cacheId="8" r:id="rId7"/>
    <pivotCache cacheId="12" r:id="rId8"/>
    <pivotCache cacheId="15" r:id="rId9"/>
    <pivotCache cacheId="18" r:id="rId10"/>
    <pivotCache cacheId="21" r:id="rId11"/>
    <pivotCache cacheId="24"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6" i="6" l="1"/>
  <c r="K45" i="6" s="1"/>
  <c r="P31" i="5" s="1"/>
  <c r="S19" i="5" a="1"/>
  <c r="S19" i="5" s="1"/>
  <c r="E30" i="6" a="1"/>
  <c r="E30" i="6" s="1"/>
  <c r="L38" i="6" s="1"/>
  <c r="L42" i="6" s="1"/>
  <c r="K47" i="6" s="1"/>
  <c r="P33" i="5" s="1"/>
  <c r="H22"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L37" i="6" l="1"/>
  <c r="L41" i="6" s="1"/>
  <c r="K46" i="6" s="1"/>
  <c r="P32" i="5" s="1"/>
  <c r="I34" i="6"/>
  <c r="I31" i="6"/>
  <c r="I32" i="6"/>
  <c r="I30" i="6"/>
  <c r="I33" i="6"/>
  <c r="H32" i="6"/>
  <c r="H33" i="6"/>
  <c r="H34" i="6"/>
  <c r="H31" i="6"/>
  <c r="H3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6955A0-50F0-4D4A-A7B9-DF83B9A848D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C5A74EA-4132-4728-B84F-2EB70C761EF2}"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56F33E9D-5983-47A0-9F79-78F35C8A600E}"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<sst xmlns="http://schemas.openxmlformats.org/spreadsheetml/2006/main" count="3170" uniqueCount="1084">
  <si>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</si>
  <si>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</si>
  <si>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</si>
  <si>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</si>
  <si>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</si>
  <si>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</si>
  <si>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</si>
  <si>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</si>
  <si>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</si>
  <si>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</si>
  <si>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</si>
  <si>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</si>
  <si>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</si>
  <si>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</si>
  <si>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</si>
  <si>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</si>
  <si>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</si>
  <si>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</si>
  <si>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</si>
  <si>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</si>
  <si>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</si>
  <si>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</si>
  <si>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</si>
  <si>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</si>
  <si>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</si>
  <si>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</si>
  <si>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</si>
  <si>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</si>
  <si>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</si>
  <si>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</si>
  <si>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</si>
  <si>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</si>
  <si>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</si>
  <si>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</si>
  <si>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</si>
  <si>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</si>
  <si>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</si>
  <si>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</si>
  <si>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</si>
  <si>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</si>
  <si>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</si>
  <si>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</si>
  <si>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</si>
  <si>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</si>
  <si>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</si>
  <si>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</si>
  <si>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</si>
  <si>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</si>
  <si>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</si>
  <si>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</si>
  <si>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</si>
  <si>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</si>
  <si>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</si>
  <si>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</si>
  <si>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</si>
  <si>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</si>
  <si>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</si>
  <si>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</si>
  <si>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</si>
  <si>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</si>
  <si>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</si>
  <si>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</si>
  <si>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</si>
  <si>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</si>
  <si>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</si>
  <si>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</si>
  <si>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</si>
  <si>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</si>
  <si>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</si>
  <si>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</si>
  <si>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</si>
  <si>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</si>
  <si>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</si>
  <si>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</si>
  <si>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</si>
  <si>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</si>
  <si>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</si>
  <si>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</si>
  <si>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</si>
  <si>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</si>
  <si>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</si>
  <si>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</si>
  <si>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</si>
  <si>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</si>
  <si>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</si>
  <si>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</si>
  <si>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</si>
  <si>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</si>
  <si>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</si>
  <si>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</si>
  <si>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</si>
  <si>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</si>
  <si>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</si>
  <si>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</si>
  <si>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</si>
  <si>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</si>
  <si>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</si>
  <si>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</si>
  <si>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</si>
  <si>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</si>
  <si>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</si>
  <si>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</si>
  <si>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</si>
  <si>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</si>
  <si>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</si>
  <si>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</si>
  <si>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</si>
  <si>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</si>
  <si>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</si>
  <si>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</si>
  <si>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</si>
  <si>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</si>
  <si>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</si>
  <si>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</si>
  <si>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</si>
  <si>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</si>
  <si>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</si>
  <si>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</si>
  <si>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</si>
  <si>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</si>
  <si>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</si>
  <si>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</si>
  <si>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</si>
  <si>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</si>
  <si>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</si>
  <si>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</si>
  <si>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</si>
  <si>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</si>
  <si>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</si>
  <si>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</si>
  <si>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</si>
  <si>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</si>
  <si>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</si>
  <si>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</si>
  <si>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</si>
  <si>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</si>
  <si>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</si>
  <si>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</si>
  <si>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</si>
  <si>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</si>
  <si>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</si>
  <si>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</si>
  <si>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</si>
  <si>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</si>
  <si>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</si>
  <si>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</si>
  <si>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</si>
  <si>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</si>
  <si>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</si>
  <si>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</si>
  <si>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</si>
  <si>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</si>
  <si>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</si>
  <si>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</si>
  <si>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</si>
  <si>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</si>
  <si>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</si>
  <si>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</si>
  <si>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</si>
  <si>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</si>
  <si>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</si>
  <si>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</si>
  <si>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</si>
  <si>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</si>
  <si>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</si>
  <si>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</si>
  <si>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</si>
  <si>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</si>
  <si>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</si>
  <si>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</si>
  <si>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</si>
  <si>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</si>
  <si>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</si>
  <si>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</si>
  <si>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</si>
  <si>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</si>
  <si>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</si>
  <si>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</si>
  <si>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</si>
  <si>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</si>
  <si>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</si>
  <si>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</si>
  <si>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</si>
  <si>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</si>
  <si>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</si>
  <si>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</si>
  <si>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</si>
  <si>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</si>
  <si>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</si>
  <si>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</si>
  <si>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</si>
  <si>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</si>
  <si>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</si>
  <si>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</si>
  <si>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</si>
  <si>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</si>
  <si>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</si>
  <si>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</si>
  <si>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</si>
  <si>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</si>
  <si>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</si>
  <si>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</si>
  <si>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</si>
  <si>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</si>
  <si>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</si>
  <si>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</si>
  <si>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</si>
  <si>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</si>
  <si>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</si>
  <si>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</si>
  <si>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</si>
  <si>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</si>
  <si>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</si>
  <si>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</si>
  <si>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</si>
  <si>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</si>
  <si>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</si>
  <si>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</si>
  <si>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</si>
  <si>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</si>
  <si>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</si>
  <si>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</si>
  <si>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</si>
  <si>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</si>
  <si>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</si>
  <si>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</si>
  <si>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</si>
  <si>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</si>
  <si>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</si>
  <si>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</si>
  <si>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</si>
  <si>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</si>
  <si>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</si>
  <si>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</si>
  <si>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</si>
  <si>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</si>
  <si>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</si>
  <si>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</si>
  <si>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</si>
  <si>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</si>
  <si>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</si>
  <si>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</si>
  <si>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</si>
  <si>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</si>
  <si>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</si>
  <si>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</si>
  <si>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</si>
  <si>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</si>
  <si>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</si>
  <si>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</si>
  <si>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</si>
  <si>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</si>
  <si>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</si>
  <si>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</si>
  <si>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</si>
  <si>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</si>
  <si>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</si>
  <si>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</si>
  <si>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</si>
  <si>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</si>
  <si>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</si>
  <si>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</si>
  <si>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</si>
  <si>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</si>
  <si>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</si>
  <si>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</si>
  <si>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</si>
  <si>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</si>
  <si>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</si>
  <si>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</si>
  <si>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</si>
  <si>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</si>
  <si>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</si>
  <si>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</si>
  <si>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</si>
  <si>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</si>
  <si>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</si>
  <si>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</si>
  <si>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</si>
  <si>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</si>
  <si>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</si>
  <si>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</si>
  <si>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</si>
  <si>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</si>
  <si>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</si>
  <si>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</si>
  <si>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</si>
  <si>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</si>
  <si>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</si>
  <si>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</si>
  <si>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</si>
  <si>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</si>
  <si>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</si>
  <si>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</si>
  <si>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</si>
  <si>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</si>
  <si>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</si>
  <si>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</si>
  <si>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</si>
  <si>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</si>
  <si>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</si>
  <si>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</si>
  <si>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</si>
  <si>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</si>
  <si>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</si>
  <si>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</si>
  <si>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</si>
  <si>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</si>
  <si>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</si>
  <si>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</si>
  <si>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</si>
  <si>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</si>
  <si>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</si>
  <si>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</si>
  <si>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</si>
  <si>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</si>
  <si>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</si>
  <si>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</si>
  <si>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</si>
  <si>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</si>
  <si>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</si>
  <si>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</si>
  <si>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</si>
  <si>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</si>
  <si>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</si>
  <si>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</si>
  <si>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</si>
  <si>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</si>
  <si>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</si>
  <si>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</si>
  <si>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</si>
  <si>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</si>
  <si>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</si>
  <si>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</si>
  <si>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</si>
  <si>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</si>
  <si>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</si>
  <si>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</si>
  <si>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</si>
  <si>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</si>
  <si>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</si>
  <si>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</si>
  <si>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</si>
  <si>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</si>
  <si>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</si>
  <si>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</si>
  <si>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</si>
  <si>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</si>
  <si>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</si>
  <si>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</si>
  <si>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</si>
  <si>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</si>
  <si>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</si>
  <si>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</si>
  <si>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</si>
  <si>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</si>
  <si>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</si>
  <si>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</si>
  <si>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</si>
  <si>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</si>
  <si>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</si>
  <si>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</si>
  <si>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</si>
  <si>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</si>
  <si>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</si>
  <si>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</si>
  <si>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</si>
  <si>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</si>
  <si>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</si>
  <si>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</si>
  <si>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</si>
  <si>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</si>
  <si>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</si>
  <si>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</si>
  <si>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</si>
  <si>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</si>
  <si>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</si>
  <si>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</si>
  <si>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</si>
  <si>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</si>
  <si>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</si>
  <si>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</si>
  <si>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</si>
  <si>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</si>
  <si>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</si>
  <si>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</si>
  <si>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</si>
  <si>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</si>
  <si>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</si>
  <si>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</si>
  <si>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</si>
  <si>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</si>
  <si>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</si>
  <si>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</si>
  <si>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</si>
  <si>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</si>
  <si>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</si>
  <si>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</si>
  <si>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</si>
  <si>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</si>
  <si>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</si>
  <si>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</si>
  <si>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</si>
  <si>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</si>
  <si>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</si>
  <si>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</si>
  <si>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</si>
  <si>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</si>
  <si>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</si>
  <si>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</si>
  <si>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</si>
  <si>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</si>
  <si>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</si>
  <si>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</si>
  <si>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</si>
  <si>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</si>
  <si>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</si>
  <si>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</si>
  <si>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</si>
  <si>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</si>
  <si>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</si>
  <si>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</si>
  <si>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</si>
  <si>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</si>
  <si>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</si>
  <si>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</si>
  <si>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</si>
  <si>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</si>
  <si>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</si>
  <si>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</si>
  <si>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</si>
  <si>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</si>
  <si>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</si>
  <si>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</si>
  <si>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</si>
  <si>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</si>
  <si>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</si>
  <si>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</si>
  <si>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</si>
  <si>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</si>
  <si>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</si>
  <si>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</si>
  <si>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</si>
  <si>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</si>
  <si>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</si>
  <si>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</si>
  <si>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</si>
  <si>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</si>
  <si>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</si>
  <si>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</si>
  <si>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</si>
  <si>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</si>
  <si>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</si>
  <si>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</si>
  <si>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</si>
  <si>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</si>
  <si>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</si>
  <si>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</si>
  <si>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</si>
  <si>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</si>
  <si>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</si>
  <si>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</si>
  <si>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</si>
  <si>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</si>
  <si>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</si>
  <si>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</si>
  <si>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</si>
  <si>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</si>
  <si>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</si>
  <si>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</si>
  <si>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</si>
  <si>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</si>
  <si>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</si>
  <si>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</si>
  <si>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</si>
  <si>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</si>
  <si>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</si>
  <si>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</si>
  <si>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</si>
  <si>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</si>
  <si>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</si>
  <si>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</si>
  <si>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</si>
  <si>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</si>
  <si>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</si>
  <si>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</si>
  <si>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</si>
  <si>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</si>
  <si>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</si>
  <si>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</si>
  <si>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</si>
  <si>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</si>
  <si>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</si>
  <si>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</si>
  <si>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</si>
  <si>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</si>
  <si>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</si>
  <si>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</si>
  <si>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</si>
  <si>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</si>
  <si>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</si>
  <si>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</si>
  <si>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</si>
  <si>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</si>
  <si>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</si>
  <si>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</si>
  <si>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</si>
  <si>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</si>
  <si>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</si>
  <si>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</si>
  <si>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</si>
  <si>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</si>
  <si>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</si>
  <si>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</si>
  <si>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</si>
  <si>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</si>
  <si>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</si>
  <si>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</si>
  <si>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</si>
  <si>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</si>
  <si>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</si>
  <si>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</si>
  <si>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</si>
  <si>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</si>
  <si>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</si>
  <si>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</si>
  <si>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</si>
  <si>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</si>
  <si>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</si>
  <si>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</si>
  <si>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</si>
  <si>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</si>
  <si>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</si>
  <si>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</si>
  <si>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</si>
  <si>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</si>
  <si>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</si>
  <si>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</si>
  <si>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</si>
  <si>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</si>
  <si>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</si>
  <si>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</si>
  <si>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</si>
  <si>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</si>
  <si>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</si>
  <si>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</si>
  <si>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</si>
  <si>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</si>
  <si>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</si>
  <si>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</si>
  <si>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</si>
  <si>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</si>
  <si>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</si>
  <si>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</si>
  <si>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</si>
  <si>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</si>
  <si>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</si>
  <si>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</si>
  <si>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</si>
  <si>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</si>
  <si>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</si>
  <si>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</si>
  <si>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</si>
  <si>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</si>
  <si>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</si>
  <si>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</si>
  <si>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</si>
  <si>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</si>
  <si>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</si>
  <si>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</si>
  <si>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</si>
  <si>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</si>
  <si>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</si>
  <si>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</si>
  <si>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</si>
  <si>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</si>
  <si>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</si>
  <si>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</si>
  <si>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</si>
  <si>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</si>
  <si>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</si>
  <si>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</si>
  <si>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</si>
  <si>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</si>
  <si>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</si>
  <si>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</si>
  <si>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</si>
  <si>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</si>
  <si>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</si>
  <si>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</si>
  <si>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</si>
  <si>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</si>
  <si>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</si>
  <si>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</si>
  <si>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</si>
  <si>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</si>
  <si>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</si>
  <si>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</si>
  <si>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</si>
  <si>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</si>
  <si>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</si>
  <si>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</si>
  <si>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</si>
  <si>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</si>
  <si>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</si>
  <si>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</si>
  <si>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</si>
  <si>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</si>
  <si>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</si>
  <si>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</si>
  <si>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</si>
  <si>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</si>
  <si>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</si>
  <si>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</si>
  <si>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</si>
  <si>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</si>
  <si>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</si>
  <si>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</si>
  <si>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</si>
  <si>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</si>
  <si>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</si>
  <si>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</si>
  <si>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</si>
  <si>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</si>
  <si>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</si>
  <si>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</si>
  <si>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</si>
  <si>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</si>
  <si>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</si>
  <si>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</si>
  <si>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</si>
  <si>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</si>
  <si>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</si>
  <si>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</si>
  <si>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</si>
  <si>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</si>
  <si>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</si>
  <si>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</si>
  <si>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</si>
  <si>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</si>
  <si>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</si>
  <si>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</si>
  <si>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</si>
  <si>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</si>
  <si>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</si>
  <si>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</si>
  <si>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</si>
  <si>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</si>
  <si>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</si>
  <si>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</si>
  <si>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</si>
  <si>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</si>
  <si>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</si>
  <si>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</si>
  <si>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</si>
  <si>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</si>
  <si>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</si>
  <si>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</si>
  <si>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</si>
  <si>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</si>
  <si>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</si>
  <si>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</si>
  <si>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</si>
  <si>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</si>
  <si>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</si>
  <si>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</si>
  <si>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</si>
  <si>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</si>
  <si>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</si>
  <si>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</si>
  <si>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</si>
  <si>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</si>
  <si>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</si>
  <si>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</si>
  <si>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</si>
  <si>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</si>
  <si>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</si>
  <si>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</si>
  <si>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</si>
  <si>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</si>
  <si>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</si>
  <si>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</si>
  <si>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</si>
  <si>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</si>
  <si>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</si>
  <si>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</si>
  <si>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</si>
  <si>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</si>
  <si>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</si>
  <si>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</si>
  <si>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</si>
  <si>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</si>
  <si>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</si>
  <si>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</si>
  <si>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</si>
  <si>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</si>
  <si>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</si>
  <si>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</si>
  <si>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</si>
  <si>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</si>
  <si>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</si>
  <si>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</si>
  <si>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</si>
  <si>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</si>
  <si>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</si>
  <si>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</si>
  <si>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</si>
  <si>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</si>
  <si>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</si>
  <si>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</si>
  <si>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</si>
  <si>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</si>
  <si>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</si>
  <si>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</si>
  <si>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</si>
  <si>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</si>
  <si>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</si>
  <si>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</si>
  <si>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</si>
  <si>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</si>
  <si>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</si>
  <si>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</si>
  <si>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</si>
  <si>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</si>
  <si>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</si>
  <si>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</si>
  <si>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</si>
  <si>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</si>
  <si>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</si>
  <si>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</si>
  <si>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</si>
  <si>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</si>
  <si>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</si>
  <si>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</si>
  <si>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</si>
  <si>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</si>
  <si>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</si>
  <si>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</si>
  <si>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</si>
  <si>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</si>
  <si>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</si>
  <si>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</si>
  <si>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</si>
  <si>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</si>
  <si>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</si>
  <si>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</si>
  <si>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</si>
  <si>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</si>
  <si>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</si>
  <si>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</si>
  <si>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</si>
  <si>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</si>
  <si>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</si>
  <si>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</si>
  <si>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</si>
  <si>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</si>
  <si>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</si>
  <si>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</si>
  <si>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</si>
  <si>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</si>
  <si>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</si>
  <si>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</si>
  <si>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</si>
  <si>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</si>
  <si>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</si>
  <si>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</si>
  <si>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</si>
  <si>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</si>
  <si>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</si>
  <si>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</si>
  <si>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</si>
  <si>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</si>
  <si>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</si>
  <si>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</si>
  <si>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</si>
  <si>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</si>
  <si>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</si>
  <si>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</si>
  <si>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</si>
  <si>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</si>
  <si>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</si>
  <si>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</si>
  <si>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</si>
  <si>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</si>
  <si>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</si>
  <si>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</si>
  <si>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</si>
  <si>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</si>
  <si>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</si>
  <si>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</si>
  <si>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</si>
  <si>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</si>
  <si>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</si>
  <si>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</si>
  <si>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</si>
  <si>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</si>
  <si>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</si>
  <si>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</si>
  <si>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</si>
  <si>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</si>
  <si>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</si>
  <si>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</si>
  <si>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</si>
  <si>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</si>
  <si>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</si>
  <si>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</si>
  <si>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</si>
  <si>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</si>
  <si>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</si>
  <si>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</si>
  <si>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</si>
  <si>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</si>
  <si>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</si>
  <si>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</si>
  <si>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</si>
  <si>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</si>
  <si>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</si>
  <si>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</si>
  <si>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</si>
  <si>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</si>
  <si>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</si>
  <si>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</si>
  <si>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</si>
  <si>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</si>
  <si>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</si>
  <si>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</si>
  <si>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</si>
  <si>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</si>
  <si>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</si>
  <si>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</si>
  <si>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</si>
  <si>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</si>
  <si>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</si>
  <si>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</si>
  <si>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</si>
  <si>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</si>
  <si>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</si>
  <si>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</si>
  <si>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</si>
  <si>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</si>
  <si>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</si>
  <si>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</si>
  <si>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</si>
  <si>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</si>
  <si>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</si>
  <si>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</si>
  <si>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</si>
  <si>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</si>
  <si>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</si>
  <si>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</si>
  <si>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</si>
  <si>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</si>
  <si>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</si>
  <si>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</si>
  <si>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</si>
  <si>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</si>
  <si>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</si>
  <si>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</si>
  <si>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</si>
  <si>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</si>
  <si>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</si>
  <si>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</si>
  <si>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</si>
  <si>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</si>
  <si>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</si>
  <si>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</si>
  <si>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</si>
  <si>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</si>
  <si>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</si>
  <si>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</si>
  <si>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</si>
  <si>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</si>
  <si>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</si>
  <si>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</si>
  <si>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</si>
  <si>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</si>
  <si>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</si>
  <si>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</si>
  <si>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</si>
  <si>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</si>
  <si>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</si>
  <si>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</si>
  <si>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</si>
  <si>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</si>
  <si>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</si>
  <si>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</si>
  <si>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</si>
  <si>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</si>
  <si>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</si>
  <si>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</si>
  <si>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</si>
  <si>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</si>
  <si>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</si>
  <si>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</si>
  <si>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</si>
  <si>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</si>
  <si>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</si>
  <si>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</si>
  <si>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</si>
  <si>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</si>
  <si>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</si>
  <si>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</si>
  <si>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</si>
  <si>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</si>
  <si>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</si>
  <si>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</si>
  <si>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</si>
  <si>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</si>
  <si>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</si>
  <si>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</si>
  <si>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</si>
  <si>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</si>
  <si>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</si>
  <si>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</si>
  <si>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</si>
  <si>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</si>
  <si>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</si>
  <si>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</si>
  <si>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</si>
  <si>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</si>
  <si>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</si>
  <si>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</si>
  <si>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</si>
  <si>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</si>
  <si>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</si>
  <si>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</si>
  <si>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</si>
  <si>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</si>
  <si>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</si>
  <si>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</si>
  <si>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</si>
  <si>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</si>
  <si>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</si>
  <si>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</si>
  <si>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</si>
  <si>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</si>
  <si>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</si>
  <si>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</si>
  <si>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</si>
  <si>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</si>
  <si>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</si>
  <si>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</si>
  <si>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</si>
  <si>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</si>
  <si>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</si>
  <si>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</si>
  <si>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</si>
  <si>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</si>
  <si>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</si>
  <si>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</si>
  <si>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</si>
  <si>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</si>
  <si>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</si>
  <si>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</si>
  <si>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</si>
  <si>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</si>
  <si>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</si>
  <si>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</si>
  <si>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</si>
  <si>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</si>
  <si>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</si>
  <si>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</si>
  <si>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</si>
  <si>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</si>
  <si>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</si>
  <si>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</si>
  <si>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</si>
  <si>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</si>
  <si>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</si>
  <si>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</si>
  <si>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</si>
  <si>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</si>
  <si>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</si>
  <si>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</si>
  <si>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</si>
  <si>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</si>
  <si>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</si>
  <si>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</si>
  <si>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</si>
  <si>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</si>
  <si>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</si>
  <si>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</si>
  <si>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</si>
  <si>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</si>
  <si>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</si>
  <si>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</si>
  <si>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</si>
  <si>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</si>
  <si>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</si>
  <si>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</si>
  <si>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</si>
  <si>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</si>
  <si>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</si>
  <si>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</si>
  <si>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</si>
  <si>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</si>
  <si>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</si>
  <si>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</si>
  <si>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</si>
  <si>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</si>
  <si>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</si>
  <si>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</si>
  <si>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</si>
  <si>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</si>
  <si>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</si>
  <si>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</si>
  <si>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</si>
  <si>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</si>
  <si>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</si>
  <si>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</si>
  <si>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</si>
  <si>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</si>
  <si>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</si>
  <si>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</si>
  <si>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</si>
  <si>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</si>
  <si>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</si>
  <si>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</si>
  <si>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</si>
  <si>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</si>
  <si>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</si>
  <si>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</si>
  <si>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</si>
  <si>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</si>
  <si>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</si>
  <si>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</si>
  <si>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</si>
  <si>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</si>
  <si>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</si>
  <si>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</si>
  <si>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</si>
  <si>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</si>
  <si>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</si>
  <si>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</si>
  <si>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</si>
  <si>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</si>
  <si>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</si>
  <si>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</si>
  <si>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</si>
  <si>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</si>
  <si>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 xml:space="preserve"> </t>
  </si>
  <si>
    <t>Row Labels</t>
  </si>
  <si>
    <t>Grand Total</t>
  </si>
  <si>
    <t>call count</t>
  </si>
  <si>
    <t>Total Amount</t>
  </si>
  <si>
    <t>Total Duration</t>
  </si>
  <si>
    <t>Avg Rating</t>
  </si>
  <si>
    <t>5* calls</t>
  </si>
  <si>
    <t>Column Labels</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</si>
  <si>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</si>
  <si>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</si>
  <si>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</si>
  <si>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</si>
  <si>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</si>
  <si>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</si>
  <si>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</si>
  <si>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</si>
  <si>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</si>
  <si>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</si>
  <si>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</si>
  <si>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</si>
  <si>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</si>
  <si>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</si>
  <si>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</si>
  <si>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</si>
  <si>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</si>
  <si>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</si>
  <si>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</si>
  <si>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</si>
  <si>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 xml:space="preserve">Rep </t>
  </si>
  <si>
    <t>calls</t>
  </si>
  <si>
    <t>Amount</t>
  </si>
  <si>
    <t>Sel. Calls</t>
  </si>
  <si>
    <t xml:space="preserve">Sel. Amount </t>
  </si>
  <si>
    <t xml:space="preserve">selected rep </t>
  </si>
  <si>
    <t>Total amount</t>
  </si>
  <si>
    <t>Total</t>
  </si>
  <si>
    <t>rep summary</t>
  </si>
  <si>
    <t>% of calls</t>
  </si>
  <si>
    <t>Call Rank</t>
  </si>
  <si>
    <t xml:space="preserve">Amount Rank </t>
  </si>
  <si>
    <t xml:space="preserve">Calls </t>
  </si>
  <si>
    <t>labels</t>
  </si>
  <si>
    <t>CALL CENTRE REPORT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</si>
</sst>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12"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1"/>
      <name val="Arial"/>
      <family val="2"/>
      <scheme val="minor"/>
    </font>
    <font>
      <sz val="11"/>
      <color theme="0" tint="-0.14999847407452621"/>
      <name val="Arial"/>
      <family val="2"/>
      <scheme val="minor"/>
    </font>
    <font>
      <sz val="12"/>
      <color theme="1"/>
      <name val="Arial"/>
      <family val="2"/>
      <scheme val="minor"/>
    </font>
    <font>
      <sz val="10"/>
      <color theme="1"/>
      <name val="Arial"/>
      <family val="2"/>
      <scheme val="minor"/>
    </font>
    <font>
      <b/>
      <sz val="12"/>
      <color theme="1"/>
      <name val="Arial"/>
      <family val="2"/>
      <scheme val="minor"/>
    </font>
    <font>
      <b/>
      <sz val="14"/>
      <color rgb="FFFF0000"/>
      <name val="Aptos"/>
      <family val="2"/>
    </font>
    <font>
      <b/>
      <sz val="16"/>
      <color rgb="FFFF0000"/>
      <name val="Arial"/>
      <family val="2"/>
      <scheme val="minor"/>
    </font>
    <font>
      <sz val="16"/>
      <color rgb="FFFF0000"/>
      <name val="Arial"/>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4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66" fontId="0" fillId="0" borderId="0" xfId="0" applyNumberFormat="1"/>
    <xf numFmtId="0" fontId="0" fillId="3" borderId="0" xfId="0" applyFill="1"/>
    <xf numFmtId="0" fontId="5" fillId="3" borderId="0" xfId="0" applyFont="1" applyFill="1"/>
    <xf numFmtId="167" fontId="0" fillId="0" borderId="0" xfId="0" applyNumberFormat="1"/>
    <xf numFmtId="0" fontId="0" fillId="4" borderId="0" xfId="0" applyFill="1" applyAlignment="1">
      <alignment horizontal="left"/>
    </xf>
    <xf numFmtId="0" fontId="0" fillId="0" borderId="0" xfId="0" applyAlignment="1">
      <alignment horizontal="left" indent="1"/>
    </xf>
    <xf numFmtId="168" fontId="6" fillId="5" borderId="0" xfId="0" applyNumberFormat="1" applyFont="1" applyFill="1"/>
    <xf numFmtId="168" fontId="7" fillId="5" borderId="0" xfId="0" applyNumberFormat="1" applyFont="1" applyFill="1"/>
    <xf numFmtId="168" fontId="6" fillId="5" borderId="0" xfId="0" applyNumberFormat="1" applyFont="1" applyFill="1" applyAlignment="1">
      <alignment horizontal="left" indent="1"/>
    </xf>
    <xf numFmtId="0" fontId="1" fillId="5" borderId="0" xfId="0" applyFont="1" applyFill="1"/>
    <xf numFmtId="0" fontId="1" fillId="5" borderId="0" xfId="0" applyFont="1" applyFill="1" applyAlignment="1">
      <alignment horizontal="right"/>
    </xf>
    <xf numFmtId="0" fontId="1" fillId="5" borderId="0" xfId="0" applyFont="1" applyFill="1" applyAlignment="1">
      <alignment horizontal="left" indent="1"/>
    </xf>
    <xf numFmtId="168" fontId="8" fillId="5" borderId="0" xfId="0" applyNumberFormat="1" applyFont="1" applyFill="1"/>
    <xf numFmtId="9" fontId="0" fillId="0" borderId="0" xfId="1" applyFont="1"/>
    <xf numFmtId="0" fontId="9" fillId="0" borderId="0" xfId="0" applyFont="1"/>
    <xf numFmtId="0" fontId="9" fillId="3" borderId="0" xfId="0" applyFont="1" applyFill="1" applyAlignment="1">
      <alignment horizontal="center"/>
    </xf>
    <xf numFmtId="0" fontId="10" fillId="3" borderId="0" xfId="0" applyFont="1" applyFill="1" applyAlignment="1">
      <alignment horizontal="center"/>
    </xf>
    <xf numFmtId="0" fontId="11" fillId="3" borderId="0" xfId="0" applyFont="1" applyFill="1" applyAlignment="1">
      <alignment horizontal="center"/>
    </xf>
    <xf numFmtId="0" fontId="0" fillId="0" borderId="0" xfId="0" applyFill="1"/>
  </cellXfs>
  <cellStyles count="2">
    <cellStyle name="Normal" xfId="0" builtinId="0"/>
    <cellStyle name="Percent" xfId="1" builtinId="5"/>
  </cellStyles>
  <dxfs count="22">
    <dxf>
      <fill>
        <patternFill patternType="none">
          <bgColor auto="1"/>
        </patternFill>
      </fill>
    </dxf>
    <dxf>
      <fill>
        <patternFill patternType="solid">
          <bgColor theme="8"/>
        </patternFill>
      </fill>
    </dxf>
    <dxf>
      <fill>
        <patternFill>
          <bgColor theme="8" tint="0.39994506668294322"/>
        </patternFill>
      </fill>
      <border>
        <left style="thin">
          <color auto="1"/>
        </left>
        <right style="thin">
          <color auto="1"/>
        </right>
        <vertical/>
        <horizontal/>
      </border>
    </dxf>
    <dxf>
      <fill>
        <patternFill patternType="solid">
          <bgColor theme="8"/>
        </patternFill>
      </fill>
    </dxf>
    <dxf>
      <fill>
        <patternFill patternType="none">
          <bgColor auto="1"/>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Light6 2" pivot="0" table="0" count="10" xr9:uid="{04AB6107-FA7E-4C86-B5EE-22B8A1787807}">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[sample-data-excel-portfolio-project.xlsx]Pivots!Monthly Trends</c:name>
    <c:fmtId val="1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accent6"/>
                </a:solidFill>
                <a:latin typeface="Aptos" panose="020B0004020202020204" pitchFamily="34" charset="0"/>
              </a:rPr>
              <a:t>Call Trends</a:t>
            </a:r>
          </a:p>
        </c:rich>
      </c:tx>
      <c:layout>
        <c:manualLayout>
          <c:xMode val="edge"/>
          <c:yMode val="edge"/>
          <c:x val="6.8096734591463134E-2"/>
          <c:y val="6.30482905225511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lumMod val="7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257521193903212E-2"/>
          <c:y val="0.17892299411537338"/>
          <c:w val="0.88188351670908838"/>
          <c:h val="0.70393596871165576"/>
        </c:manualLayout>
      </c:layout>
      <c:areaChart>
        <c:grouping val="standard"/>
        <c:varyColors val="0"/>
        <c:ser>
          <c:idx val="1"/>
          <c:order val="1"/>
          <c:tx>
            <c:strRef>
              <c:f>Pivots!$C$12</c:f>
              <c:strCache>
                <c:ptCount val="1"/>
                <c:pt idx="0">
                  <c:v>call count2</c:v>
                </c:pt>
              </c:strCache>
            </c:strRef>
          </c:tx>
          <c:spPr>
            <a:gradFill flip="none" rotWithShape="1">
              <a:gsLst>
                <a:gs pos="0">
                  <a:schemeClr val="accent6">
                    <a:lumMod val="60000"/>
                    <a:lumOff val="40000"/>
                    <a:alpha val="50000"/>
                  </a:schemeClr>
                </a:gs>
                <a:gs pos="100000">
                  <a:schemeClr val="accent6">
                    <a:lumMod val="75000"/>
                  </a:schemeClr>
                </a:gs>
              </a:gsLst>
              <a:lin ang="16200000" scaled="1"/>
              <a:tileRect/>
            </a:gradFill>
            <a:ln>
              <a:noFill/>
            </a:ln>
            <a:effectLst/>
          </c:spP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Pivots!$C$13:$C$25</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B7D2-464A-BE1B-B82B244ED9C5}"/>
            </c:ext>
          </c:extLst>
        </c:ser>
        <c:dLbls>
          <c:showLegendKey val="0"/>
          <c:showVal val="0"/>
          <c:showCatName val="0"/>
          <c:showSerName val="0"/>
          <c:showPercent val="0"/>
          <c:showBubbleSize val="0"/>
        </c:dLbls>
        <c:axId val="2089464944"/>
        <c:axId val="2089466864"/>
      </c:areaChart>
      <c:lineChart>
        <c:grouping val="standard"/>
        <c:varyColors val="0"/>
        <c:ser>
          <c:idx val="0"/>
          <c:order val="0"/>
          <c:tx>
            <c:strRef>
              <c:f>Pivots!$B$12</c:f>
              <c:strCache>
                <c:ptCount val="1"/>
                <c:pt idx="0">
                  <c:v>call count</c:v>
                </c:pt>
              </c:strCache>
            </c:strRef>
          </c:tx>
          <c:spPr>
            <a:ln w="28575" cap="rnd">
              <a:solidFill>
                <a:schemeClr val="accent6">
                  <a:lumMod val="75000"/>
                </a:schemeClr>
              </a:solidFill>
              <a:round/>
            </a:ln>
            <a:effectLst/>
          </c:spPr>
          <c:marker>
            <c:symbol val="circle"/>
            <c:size val="7"/>
            <c:spPr>
              <a:solidFill>
                <a:schemeClr val="bg1"/>
              </a:solidFill>
              <a:ln w="25400">
                <a:solidFill>
                  <a:schemeClr val="tx1"/>
                </a:solidFill>
              </a:ln>
              <a:effectLst/>
            </c:spPr>
          </c:marke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Pivots!$B$13:$B$25</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B7D2-464A-BE1B-B82B244ED9C5}"/>
            </c:ext>
          </c:extLst>
        </c:ser>
        <c:dLbls>
          <c:showLegendKey val="0"/>
          <c:showVal val="0"/>
          <c:showCatName val="0"/>
          <c:showSerName val="0"/>
          <c:showPercent val="0"/>
          <c:showBubbleSize val="0"/>
        </c:dLbls>
        <c:marker val="1"/>
        <c:smooth val="0"/>
        <c:axId val="2089464944"/>
        <c:axId val="2089466864"/>
      </c:lineChart>
      <c:catAx>
        <c:axId val="208946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466864"/>
        <c:crosses val="autoZero"/>
        <c:auto val="1"/>
        <c:lblAlgn val="ctr"/>
        <c:lblOffset val="100"/>
        <c:noMultiLvlLbl val="0"/>
      </c:catAx>
      <c:valAx>
        <c:axId val="2089466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46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[sample-data-excel-portfolio-project.xlsx]Pivots!weekday trends</c:name>
    <c:fmtId val="21"/>
  </c:pivotSource>
  <c:chart>
    <c:title>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Pivots!$F$12</c:f>
              <c:strCache>
                <c:ptCount val="1"/>
                <c:pt idx="0">
                  <c:v>Total</c:v>
                </c:pt>
              </c:strCache>
            </c:strRef>
          </c:tx>
          <c:spPr>
            <a:solidFill>
              <a:schemeClr val="accent1"/>
            </a:solidFill>
            <a:ln>
              <a:noFill/>
            </a:ln>
            <a:effectLst/>
          </c:spPr>
          <c:invertIfNegative val="0"/>
          <c:cat>
            <c:strRef>
              <c:f>Pivots!$E$13:$E$20</c:f>
              <c:strCache>
                <c:ptCount val="7"/>
                <c:pt idx="0">
                  <c:v>Sunday</c:v>
                </c:pt>
                <c:pt idx="1">
                  <c:v>Monday</c:v>
                </c:pt>
                <c:pt idx="2">
                  <c:v>Tuesday</c:v>
                </c:pt>
                <c:pt idx="3">
                  <c:v>Wednesday</c:v>
                </c:pt>
                <c:pt idx="4">
                  <c:v>Thursday</c:v>
                </c:pt>
                <c:pt idx="5">
                  <c:v>Friday</c:v>
                </c:pt>
                <c:pt idx="6">
                  <c:v>Saturday</c:v>
                </c:pt>
              </c:strCache>
            </c:strRef>
          </c:cat>
          <c:val>
            <c:numRef>
              <c:f>Pivots!$F$13:$F$20</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2-E39B-4EDC-AFB2-96E70DC0C62D}"/>
            </c:ext>
          </c:extLst>
        </c:ser>
        <c:dLbls>
          <c:showLegendKey val="0"/>
          <c:showVal val="0"/>
          <c:showCatName val="0"/>
          <c:showSerName val="0"/>
          <c:showPercent val="0"/>
          <c:showBubbleSize val="0"/>
        </c:dLbls>
        <c:gapWidth val="150"/>
        <c:overlap val="100"/>
        <c:axId val="539351520"/>
        <c:axId val="539360640"/>
      </c:barChart>
      <c:catAx>
        <c:axId val="53935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360640"/>
        <c:crosses val="autoZero"/>
        <c:auto val="1"/>
        <c:lblAlgn val="ctr"/>
        <c:lblOffset val="100"/>
        <c:noMultiLvlLbl val="0"/>
      </c:catAx>
      <c:valAx>
        <c:axId val="53936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35152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6"/>
                </a:solidFill>
                <a:latin typeface="Aptos" panose="020B0004020202020204" pitchFamily="34" charset="0"/>
                <a:ea typeface="+mn-ea"/>
                <a:cs typeface="+mn-cs"/>
              </a:defRPr>
            </a:pPr>
            <a:r>
              <a:rPr lang="en-US" sz="1600" b="1">
                <a:solidFill>
                  <a:schemeClr val="accent6"/>
                </a:solidFill>
                <a:latin typeface="Aptos" panose="020B0004020202020204" pitchFamily="34" charset="0"/>
              </a:rPr>
              <a:t>Calls </a:t>
            </a:r>
          </a:p>
        </c:rich>
      </c:tx>
      <c:layout>
        <c:manualLayout>
          <c:xMode val="edge"/>
          <c:yMode val="edge"/>
          <c:x val="5.590897317239938E-2"/>
          <c:y val="1.89393939393939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6"/>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0.10681281421638952"/>
          <c:y val="0.1198490813648294"/>
          <c:w val="0.89318718578361045"/>
          <c:h val="0.84001767179670739"/>
        </c:manualLayout>
      </c:layout>
      <c:barChart>
        <c:barDir val="bar"/>
        <c:grouping val="clustered"/>
        <c:varyColors val="0"/>
        <c:ser>
          <c:idx val="0"/>
          <c:order val="0"/>
          <c:spPr>
            <a:solidFill>
              <a:schemeClr val="bg1">
                <a:lumMod val="85000"/>
              </a:schemeClr>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Pivots!$E$30:$E$34</c:f>
              <c:strCache>
                <c:ptCount val="5"/>
                <c:pt idx="0">
                  <c:v>R01</c:v>
                </c:pt>
                <c:pt idx="1">
                  <c:v>R02</c:v>
                </c:pt>
                <c:pt idx="2">
                  <c:v>R03</c:v>
                </c:pt>
                <c:pt idx="3">
                  <c:v>R04</c:v>
                </c:pt>
                <c:pt idx="4">
                  <c:v>R05</c:v>
                </c:pt>
              </c:strCache>
            </c:strRef>
          </c:cat>
          <c:val>
            <c:numRef>
              <c:f>Pivots!$F$30:$F$34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1FC-449F-94AB-A943A109048B}"/>
            </c:ext>
          </c:extLst>
        </c:ser>
        <c:ser>
          <c:idx val="1"/>
          <c:order val="1"/>
          <c:tx>
            <c:strRef>
              <c:f>Pivots!$H$29</c:f>
              <c:strCache>
                <c:ptCount val="1"/>
                <c:pt idx="0">
                  <c:v>Sel. Calls</c:v>
                </c:pt>
              </c:strCache>
            </c:strRef>
          </c:tx>
          <c:spPr>
            <a:solidFill>
              <a:schemeClr val="accent5"/>
            </a:solidFill>
            <a:ln>
              <a:noFill/>
            </a:ln>
            <a:effectLst/>
          </c:spPr>
          <c:invertIfNegative val="0"/>
          <c:dPt>
            <c:idx val="0"/>
            <c:invertIfNegative val="0"/>
            <c:bubble3D val="0"/>
            <c:spPr>
              <a:gradFill>
                <a:gsLst>
                  <a:gs pos="0">
                    <a:schemeClr val="accent5">
                      <a:lumMod val="40000"/>
                      <a:lumOff val="60000"/>
                    </a:schemeClr>
                  </a:gs>
                  <a:gs pos="100000">
                    <a:schemeClr val="accent5"/>
                  </a:gs>
                </a:gsLst>
                <a:lin ang="0" scaled="0"/>
              </a:gradFill>
              <a:ln>
                <a:noFill/>
              </a:ln>
              <a:effectLst/>
            </c:spPr>
            <c:extLst>
              <c:ext xmlns:c16="http://schemas.microsoft.com/office/drawing/2014/chart" uri="{C3380CC4-5D6E-409C-BE32-E72D297353CC}">
                <c16:uniqueId val="{00000002-B1FC-449F-94AB-A943A109048B}"/>
              </c:ext>
            </c:extLst>
          </c:dPt>
          <c:val>
            <c:numRef>
              <c:f>Pivots!$H$30:$H$34</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3-B1FC-449F-94AB-A943A109048B}"/>
            </c:ext>
          </c:extLst>
        </c:ser>
        <c:dLbls>
          <c:showLegendKey val="0"/>
          <c:showVal val="0"/>
          <c:showCatName val="0"/>
          <c:showSerName val="0"/>
          <c:showPercent val="0"/>
          <c:showBubbleSize val="0"/>
        </c:dLbls>
        <c:gapWidth val="25"/>
        <c:overlap val="100"/>
        <c:axId val="466780080"/>
        <c:axId val="466790160"/>
      </c:barChart>
      <c:catAx>
        <c:axId val="4667800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790160"/>
        <c:crosses val="autoZero"/>
        <c:auto val="1"/>
        <c:lblAlgn val="ctr"/>
        <c:lblOffset val="100"/>
        <c:noMultiLvlLbl val="0"/>
      </c:catAx>
      <c:valAx>
        <c:axId val="466790160"/>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678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6">
                    <a:lumMod val="75000"/>
                  </a:schemeClr>
                </a:solidFill>
                <a:latin typeface="Aptos" panose="020B0004020202020204" pitchFamily="34" charset="0"/>
                <a:ea typeface="+mn-ea"/>
                <a:cs typeface="+mn-cs"/>
              </a:defRPr>
            </a:pPr>
            <a:r>
              <a:rPr lang="en-US" sz="1600" b="1">
                <a:solidFill>
                  <a:schemeClr val="accent6">
                    <a:lumMod val="75000"/>
                  </a:schemeClr>
                </a:solidFill>
                <a:latin typeface="Aptos" panose="020B0004020202020204" pitchFamily="34" charset="0"/>
              </a:rPr>
              <a:t>Amount</a:t>
            </a:r>
          </a:p>
        </c:rich>
      </c:tx>
      <c:layout>
        <c:manualLayout>
          <c:xMode val="edge"/>
          <c:yMode val="edge"/>
          <c:x val="6.0231253494490745E-2"/>
          <c:y val="1.93236714975845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75000"/>
                </a:schemeClr>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0.11007573043360516"/>
          <c:y val="0.12338963064399559"/>
          <c:w val="0.86036471906371959"/>
          <c:h val="0.8256845068279508"/>
        </c:manualLayout>
      </c:layout>
      <c:barChart>
        <c:barDir val="bar"/>
        <c:grouping val="clustered"/>
        <c:varyColors val="0"/>
        <c:ser>
          <c:idx val="0"/>
          <c:order val="0"/>
          <c:spPr>
            <a:solidFill>
              <a:schemeClr val="bg1">
                <a:lumMod val="85000"/>
              </a:schemeClr>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Pivots!$E$30:$E$34</c:f>
              <c:strCache>
                <c:ptCount val="5"/>
                <c:pt idx="0">
                  <c:v>R01</c:v>
                </c:pt>
                <c:pt idx="1">
                  <c:v>R02</c:v>
                </c:pt>
                <c:pt idx="2">
                  <c:v>R03</c:v>
                </c:pt>
                <c:pt idx="3">
                  <c:v>R04</c:v>
                </c:pt>
                <c:pt idx="4">
                  <c:v>R05</c:v>
                </c:pt>
              </c:strCache>
            </c:strRef>
          </c:cat>
          <c:val>
            <c:numRef>
              <c:f>Pivots!$G$30:$G$34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E54-42A0-8FB4-2246D2A7FA4B}"/>
            </c:ext>
          </c:extLst>
        </c:ser>
        <c:ser>
          <c:idx val="1"/>
          <c:order val="1"/>
          <c:tx>
            <c:strRef>
              <c:f>Pivots!$I$29</c:f>
              <c:strCache>
                <c:ptCount val="1"/>
                <c:pt idx="0">
                  <c:v>Sel. Amount </c:v>
                </c:pt>
              </c:strCache>
            </c:strRef>
          </c:tx>
          <c:spPr>
            <a:gradFill>
              <a:gsLst>
                <a:gs pos="0">
                  <a:schemeClr val="accent6">
                    <a:lumMod val="40000"/>
                    <a:lumOff val="60000"/>
                  </a:schemeClr>
                </a:gs>
                <a:gs pos="100000">
                  <a:schemeClr val="accent6"/>
                </a:gs>
              </a:gsLst>
              <a:lin ang="0" scaled="0"/>
            </a:gradFill>
            <a:ln>
              <a:noFill/>
            </a:ln>
            <a:effectLst/>
          </c:spPr>
          <c:invertIfNegative val="0"/>
          <c:val>
            <c:numRef>
              <c:f>Pivots!$I$30:$I$34</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3E54-42A0-8FB4-2246D2A7FA4B}"/>
            </c:ext>
          </c:extLst>
        </c:ser>
        <c:dLbls>
          <c:showLegendKey val="0"/>
          <c:showVal val="0"/>
          <c:showCatName val="0"/>
          <c:showSerName val="0"/>
          <c:showPercent val="0"/>
          <c:showBubbleSize val="0"/>
        </c:dLbls>
        <c:gapWidth val="25"/>
        <c:overlap val="100"/>
        <c:axId val="466780080"/>
        <c:axId val="466790160"/>
      </c:barChart>
      <c:catAx>
        <c:axId val="4667800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790160"/>
        <c:crosses val="autoZero"/>
        <c:auto val="1"/>
        <c:lblAlgn val="ctr"/>
        <c:lblOffset val="100"/>
        <c:noMultiLvlLbl val="0"/>
      </c:catAx>
      <c:valAx>
        <c:axId val="466790160"/>
        <c:scaling>
          <c:orientation val="minMax"/>
        </c:scaling>
        <c:delete val="1"/>
        <c:axPos val="t"/>
        <c:numFmt formatCode="&quot;$&quot;#,###.0,&quot;K&quot;" sourceLinked="1"/>
        <c:majorTickMark val="none"/>
        <c:minorTickMark val="none"/>
        <c:tickLblPos val="nextTo"/>
        <c:crossAx val="46678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75000"/>
                  </a:schemeClr>
                </a:solidFill>
                <a:latin typeface="Aptos" panose="020B0004020202020204" pitchFamily="34" charset="0"/>
              </a:rPr>
              <a:t>Female</a:t>
            </a:r>
            <a:r>
              <a:rPr lang="en-US" sz="1600" b="1">
                <a:latin typeface="Aptos" panose="020B0004020202020204" pitchFamily="34" charset="0"/>
              </a:rPr>
              <a:t> VS </a:t>
            </a:r>
            <a:r>
              <a:rPr lang="en-US" sz="1600" b="1">
                <a:solidFill>
                  <a:schemeClr val="accent4">
                    <a:lumMod val="75000"/>
                  </a:schemeClr>
                </a:solidFill>
                <a:latin typeface="Aptos" panose="020B0004020202020204" pitchFamily="34" charset="0"/>
              </a:rPr>
              <a:t>Male</a:t>
            </a:r>
            <a:r>
              <a:rPr lang="en-US" sz="1600" b="1">
                <a:latin typeface="Aptos" panose="020B0004020202020204" pitchFamily="34" charset="0"/>
              </a:rPr>
              <a:t> Callers</a:t>
            </a:r>
            <a:r>
              <a:rPr lang="en-US" sz="1600" b="1" baseline="0">
                <a:latin typeface="Aptos" panose="020B0004020202020204" pitchFamily="34" charset="0"/>
              </a:rPr>
              <a:t> </a:t>
            </a:r>
            <a:endParaRPr lang="en-US" sz="1600" b="1">
              <a:latin typeface="Aptos" panose="020B0004020202020204" pitchFamily="34" charset="0"/>
            </a:endParaRPr>
          </a:p>
        </c:rich>
      </c:tx>
      <c:layout>
        <c:manualLayout>
          <c:xMode val="edge"/>
          <c:yMode val="edge"/>
          <c:x val="0.14583333333333334"/>
          <c:y val="3.3112582781456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accent2">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lumMod val="75000"/>
            </a:schemeClr>
          </a:solidFill>
          <a:ln>
            <a:noFill/>
          </a:ln>
          <a:effectLst/>
        </c:spPr>
        <c:marker>
          <c:symbol val="none"/>
        </c:marker>
        <c:dLbl>
          <c:idx val="0"/>
          <c:spPr>
            <a:solidFill>
              <a:schemeClr val="accent2">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7.5169138445073017E-2"/>
          <c:y val="0.18201839008534529"/>
          <c:w val="0.86560246413373088"/>
          <c:h val="0.65865229180789497"/>
        </c:manualLayout>
      </c:layout>
      <c:barChart>
        <c:barDir val="col"/>
        <c:grouping val="percentStacked"/>
        <c:varyColors val="0"/>
        <c:ser>
          <c:idx val="0"/>
          <c:order val="0"/>
          <c:tx>
            <c:strRef>
              <c:f>Pivots!$D$38:$D$39</c:f>
              <c:strCache>
                <c:ptCount val="1"/>
                <c:pt idx="0">
                  <c:v>Female</c:v>
                </c:pt>
              </c:strCache>
            </c:strRef>
          </c:tx>
          <c:spPr>
            <a:solidFill>
              <a:schemeClr val="accent5">
                <a:lumMod val="75000"/>
              </a:schemeClr>
            </a:solidFill>
            <a:ln>
              <a:noFill/>
            </a:ln>
            <a:effectLst/>
          </c:spPr>
          <c:invertIfNegative val="0"/>
          <c:dLbls>
            <c:spPr>
              <a:solidFill>
                <a:schemeClr val="accent2">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Pivots!$C$40:$C$43</c:f>
              <c:strCache>
                <c:ptCount val="3"/>
                <c:pt idx="0">
                  <c:v>Cincinnati</c:v>
                </c:pt>
                <c:pt idx="1">
                  <c:v>Cleveland</c:v>
                </c:pt>
                <c:pt idx="2">
                  <c:v>Columbus</c:v>
                </c:pt>
              </c:strCache>
            </c:strRef>
          </c:cat>
          <c:val>
            <c:numRef>
              <c:f>Pivots!$D$40:$D$43</c:f>
              <c:numCache>
                <c:formatCode>#,##0</c:formatCode>
                <c:ptCount val="3"/>
                <c:pt idx="0">
                  <c:v>144</c:v>
                </c:pt>
                <c:pt idx="1">
                  <c:v>326</c:v>
                </c:pt>
                <c:pt idx="2">
                  <c:v>129</c:v>
                </c:pt>
              </c:numCache>
            </c:numRef>
          </c:val>
          <c:extLst>
            <c:ext xmlns:c16="http://schemas.microsoft.com/office/drawing/2014/chart" uri="{C3380CC4-5D6E-409C-BE32-E72D297353CC}">
              <c16:uniqueId val="{00000000-CEB0-42C8-BAD3-98B5FBD7DBDC}"/>
            </c:ext>
          </c:extLst>
        </c:ser>
        <c:ser>
          <c:idx val="1"/>
          <c:order val="1"/>
          <c:tx>
            <c:strRef>
              <c:f>Pivots!$E$38:$E$39</c:f>
              <c:strCache>
                <c:ptCount val="1"/>
                <c:pt idx="0">
                  <c:v>Male</c:v>
                </c:pt>
              </c:strCache>
            </c:strRef>
          </c:tx>
          <c:spPr>
            <a:solidFill>
              <a:schemeClr val="accent4">
                <a:lumMod val="75000"/>
              </a:schemeClr>
            </a:solidFill>
            <a:ln>
              <a:noFill/>
            </a:ln>
            <a:effectLst/>
          </c:spPr>
          <c:invertIfNegative val="0"/>
          <c:dLbls>
            <c:spPr>
              <a:solidFill>
                <a:schemeClr val="accent2">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Pivots!$C$40:$C$43</c:f>
              <c:strCache>
                <c:ptCount val="3"/>
                <c:pt idx="0">
                  <c:v>Cincinnati</c:v>
                </c:pt>
                <c:pt idx="1">
                  <c:v>Cleveland</c:v>
                </c:pt>
                <c:pt idx="2">
                  <c:v>Columbus</c:v>
                </c:pt>
              </c:strCache>
            </c:strRef>
          </c:cat>
          <c:val>
            <c:numRef>
              <c:f>Pivots!$E$40:$E$43</c:f>
              <c:numCache>
                <c:formatCode>#,##0</c:formatCode>
                <c:ptCount val="3"/>
                <c:pt idx="0">
                  <c:v>132</c:v>
                </c:pt>
                <c:pt idx="1">
                  <c:v>63</c:v>
                </c:pt>
                <c:pt idx="2">
                  <c:v>206</c:v>
                </c:pt>
              </c:numCache>
            </c:numRef>
          </c:val>
          <c:extLst>
            <c:ext xmlns:c16="http://schemas.microsoft.com/office/drawing/2014/chart" uri="{C3380CC4-5D6E-409C-BE32-E72D297353CC}">
              <c16:uniqueId val="{00000001-CEB0-42C8-BAD3-98B5FBD7DBDC}"/>
            </c:ext>
          </c:extLst>
        </c:ser>
        <c:dLbls>
          <c:dLblPos val="ctr"/>
          <c:showLegendKey val="0"/>
          <c:showVal val="1"/>
          <c:showCatName val="0"/>
          <c:showSerName val="0"/>
          <c:showPercent val="0"/>
          <c:showBubbleSize val="0"/>
        </c:dLbls>
        <c:gapWidth val="25"/>
        <c:overlap val="100"/>
        <c:axId val="539351520"/>
        <c:axId val="539360640"/>
      </c:barChart>
      <c:catAx>
        <c:axId val="53935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360640"/>
        <c:crosses val="autoZero"/>
        <c:auto val="1"/>
        <c:lblAlgn val="ctr"/>
        <c:lblOffset val="100"/>
        <c:noMultiLvlLbl val="0"/>
      </c:catAx>
      <c:valAx>
        <c:axId val="539360640"/>
        <c:scaling>
          <c:orientation val="minMax"/>
        </c:scaling>
        <c:delete val="1"/>
        <c:axPos val="l"/>
        <c:numFmt formatCode="0%" sourceLinked="1"/>
        <c:majorTickMark val="none"/>
        <c:minorTickMark val="none"/>
        <c:tickLblPos val="nextTo"/>
        <c:crossAx val="53935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satisfaction</c:name>
    <c:fmtId val="16"/>
  </c:pivotSource>
  <c:chart>
    <c:title>
      <c:tx>
        <c:rich>
          <a:bodyPr rot="0" spcFirstLastPara="1" vertOverflow="ellipsis" vert="horz" wrap="square" anchor="ctr" anchorCtr="1"/>
          <a:lstStyle/>
          <a:p>
            <a:pPr>
              <a:defRPr sz="1600" b="0" i="0" u="none" strike="noStrike" kern="1200" spc="0" baseline="0">
                <a:solidFill>
                  <a:schemeClr val="bg2">
                    <a:lumMod val="25000"/>
                    <a:alpha val="96000"/>
                  </a:schemeClr>
                </a:solidFill>
                <a:latin typeface="Aptos" panose="020B0004020202020204" pitchFamily="34" charset="0"/>
                <a:ea typeface="+mn-ea"/>
                <a:cs typeface="+mn-cs"/>
              </a:defRPr>
            </a:pPr>
            <a:r>
              <a:rPr lang="en-US" sz="1600">
                <a:solidFill>
                  <a:schemeClr val="bg2">
                    <a:lumMod val="25000"/>
                    <a:alpha val="96000"/>
                  </a:schemeClr>
                </a:solidFill>
                <a:latin typeface="Aptos" panose="020B0004020202020204" pitchFamily="34" charset="0"/>
              </a:rPr>
              <a:t>Ratings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lumMod val="25000"/>
                  <a:alpha val="96000"/>
                </a:schemeClr>
              </a:solidFill>
              <a:latin typeface="Aptos" panose="020B0004020202020204" pitchFamily="34" charset="0"/>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alpha val="96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6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6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Pivots!$B$47</c:f>
              <c:strCache>
                <c:ptCount val="1"/>
                <c:pt idx="0">
                  <c:v>Total</c:v>
                </c:pt>
              </c:strCache>
            </c:strRef>
          </c:tx>
          <c:spPr>
            <a:solidFill>
              <a:schemeClr val="bg2">
                <a:lumMod val="50000"/>
              </a:schemeClr>
            </a:solidFill>
            <a:ln>
              <a:noFill/>
            </a:ln>
            <a:effectLst/>
          </c:spPr>
          <c:invertIfNegative val="0"/>
          <c:cat>
            <c:strRef>
              <c:f>Pivots!$A$48:$A$53</c:f>
              <c:strCache>
                <c:ptCount val="5"/>
                <c:pt idx="0">
                  <c:v>1</c:v>
                </c:pt>
                <c:pt idx="1">
                  <c:v>2</c:v>
                </c:pt>
                <c:pt idx="2">
                  <c:v>3</c:v>
                </c:pt>
                <c:pt idx="3">
                  <c:v>4</c:v>
                </c:pt>
                <c:pt idx="4">
                  <c:v>5</c:v>
                </c:pt>
              </c:strCache>
            </c:strRef>
          </c:cat>
          <c:val>
            <c:numRef>
              <c:f>Pivots!$B$48:$B$53</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B15F-482A-B5E9-1428E76CFEB0}"/>
            </c:ext>
          </c:extLst>
        </c:ser>
        <c:dLbls>
          <c:showLegendKey val="0"/>
          <c:showVal val="0"/>
          <c:showCatName val="0"/>
          <c:showSerName val="0"/>
          <c:showPercent val="0"/>
          <c:showBubbleSize val="0"/>
        </c:dLbls>
        <c:gapWidth val="10"/>
        <c:overlap val="100"/>
        <c:axId val="558215888"/>
        <c:axId val="558209168"/>
      </c:barChart>
      <c:catAx>
        <c:axId val="55821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96000"/>
                  </a:schemeClr>
                </a:solidFill>
                <a:latin typeface="+mn-lt"/>
                <a:ea typeface="+mn-ea"/>
                <a:cs typeface="+mn-cs"/>
              </a:defRPr>
            </a:pPr>
            <a:endParaRPr lang="en-US"/>
          </a:p>
        </c:txPr>
        <c:crossAx val="558209168"/>
        <c:crosses val="autoZero"/>
        <c:auto val="1"/>
        <c:lblAlgn val="ctr"/>
        <c:lblOffset val="100"/>
        <c:noMultiLvlLbl val="0"/>
      </c:catAx>
      <c:valAx>
        <c:axId val="558209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alpha val="96000"/>
                  </a:schemeClr>
                </a:solidFill>
                <a:latin typeface="+mn-lt"/>
                <a:ea typeface="+mn-ea"/>
                <a:cs typeface="+mn-cs"/>
              </a:defRPr>
            </a:pPr>
            <a:endParaRPr lang="en-US"/>
          </a:p>
        </c:txPr>
        <c:crossAx val="55821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6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640080</xdr:colOff>
      <xdr:row>17</xdr:row>
      <xdr:rowOff>129540</xdr:rowOff>
    </xdr:from>
    <xdr:to>
      <xdr:col>15</xdr:col>
      <xdr:colOff>91440</xdr:colOff>
      <xdr:row>36</xdr:row>
      <xdr:rowOff>22860</xdr:rowOff>
    </xdr:to>
    <xdr:sp macro="" textlink="">
      <xdr:nvSpPr>
        <xdr:cNvPr id="46" name="Rectangle 45">
          <a:extLst>
            <a:ext uri="{FF2B5EF4-FFF2-40B4-BE49-F238E27FC236}">
              <a16:creationId xmlns:a16="http://schemas.microsoft.com/office/drawing/2014/main" id="{590A39C4-7DF8-F206-2E52-1AB85E978370}"/>
            </a:ext>
          </a:extLst>
        </xdr:cNvPr>
        <xdr:cNvSpPr/>
      </xdr:nvSpPr>
      <xdr:spPr>
        <a:xfrm>
          <a:off x="2506980" y="3108960"/>
          <a:ext cx="6827520" cy="3520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2</xdr:col>
      <xdr:colOff>28161</xdr:colOff>
      <xdr:row>2</xdr:row>
      <xdr:rowOff>0</xdr:rowOff>
    </xdr:from>
    <xdr:to>
      <xdr:col>4</xdr:col>
      <xdr:colOff>523461</xdr:colOff>
      <xdr:row>7</xdr:row>
      <xdr:rowOff>35119</xdr:rowOff>
    </xdr:to>
    <xdr:sp macro="" textlink="Pivots!A4">
      <xdr:nvSpPr>
        <xdr:cNvPr id="5" name="Rectangle 4">
          <a:extLst>
            <a:ext uri="{FF2B5EF4-FFF2-40B4-BE49-F238E27FC236}">
              <a16:creationId xmlns:a16="http://schemas.microsoft.com/office/drawing/2014/main" id="{E3370098-EBC2-0915-3D5D-696FDBD900F2}"/>
            </a:ext>
          </a:extLst>
        </xdr:cNvPr>
        <xdr:cNvSpPr/>
      </xdr:nvSpPr>
      <xdr:spPr>
        <a:xfrm>
          <a:off x="551622" y="344557"/>
          <a:ext cx="1833769" cy="89651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F6AF11-81F2-4B43-8184-3B05DB36A62B}" type="TxLink">
            <a:rPr lang="en-US" sz="2400" b="1" i="0" u="none" strike="noStrike">
              <a:solidFill>
                <a:schemeClr val="bg1"/>
              </a:solidFill>
              <a:latin typeface="Aptos Display" panose="020B0004020202020204" pitchFamily="34" charset="0"/>
              <a:cs typeface="Arial"/>
            </a:rPr>
            <a:pPr algn="ctr"/>
            <a:t>1,000</a:t>
          </a:fld>
          <a:endParaRPr lang="en-US" sz="2400" b="1">
            <a:solidFill>
              <a:schemeClr val="bg1"/>
            </a:solidFill>
            <a:latin typeface="Aptos Display" panose="020B0004020202020204" pitchFamily="34" charset="0"/>
          </a:endParaRPr>
        </a:p>
      </xdr:txBody>
    </xdr:sp>
    <xdr:clientData/>
  </xdr:twoCellAnchor>
  <xdr:twoCellAnchor>
    <xdr:from>
      <xdr:col>2</xdr:col>
      <xdr:colOff>182880</xdr:colOff>
      <xdr:row>2</xdr:row>
      <xdr:rowOff>53340</xdr:rowOff>
    </xdr:from>
    <xdr:to>
      <xdr:col>4</xdr:col>
      <xdr:colOff>502920</xdr:colOff>
      <xdr:row>3</xdr:row>
      <xdr:rowOff>53340</xdr:rowOff>
    </xdr:to>
    <xdr:sp macro="" textlink="">
      <xdr:nvSpPr>
        <xdr:cNvPr id="6" name="TextBox 5">
          <a:extLst>
            <a:ext uri="{FF2B5EF4-FFF2-40B4-BE49-F238E27FC236}">
              <a16:creationId xmlns:a16="http://schemas.microsoft.com/office/drawing/2014/main" id="{E0A8166D-6F37-3356-363D-E27429D22A2E}"/>
            </a:ext>
          </a:extLst>
        </xdr:cNvPr>
        <xdr:cNvSpPr txBox="1"/>
      </xdr:nvSpPr>
      <xdr:spPr>
        <a:xfrm>
          <a:off x="708660" y="403860"/>
          <a:ext cx="166116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ptos" panose="020B0004020202020204" pitchFamily="34" charset="0"/>
            </a:rPr>
            <a:t>Calls</a:t>
          </a:r>
        </a:p>
      </xdr:txBody>
    </xdr:sp>
    <xdr:clientData/>
  </xdr:twoCellAnchor>
  <xdr:twoCellAnchor editAs="oneCell">
    <xdr:from>
      <xdr:col>2</xdr:col>
      <xdr:colOff>640517</xdr:colOff>
      <xdr:row>2</xdr:row>
      <xdr:rowOff>51915</xdr:rowOff>
    </xdr:from>
    <xdr:to>
      <xdr:col>3</xdr:col>
      <xdr:colOff>154871</xdr:colOff>
      <xdr:row>3</xdr:row>
      <xdr:rowOff>61217</xdr:rowOff>
    </xdr:to>
    <xdr:pic>
      <xdr:nvPicPr>
        <xdr:cNvPr id="8" name="Graphic 7" descr="Receiver with solid fill">
          <a:extLst>
            <a:ext uri="{FF2B5EF4-FFF2-40B4-BE49-F238E27FC236}">
              <a16:creationId xmlns:a16="http://schemas.microsoft.com/office/drawing/2014/main" id="{200DE737-E89D-569E-848F-7DA04846C0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773617">
          <a:off x="1166404" y="402507"/>
          <a:ext cx="183340" cy="184597"/>
        </a:xfrm>
        <a:prstGeom prst="rect">
          <a:avLst/>
        </a:prstGeom>
      </xdr:spPr>
    </xdr:pic>
    <xdr:clientData/>
  </xdr:twoCellAnchor>
  <xdr:twoCellAnchor>
    <xdr:from>
      <xdr:col>2</xdr:col>
      <xdr:colOff>425719</xdr:colOff>
      <xdr:row>5</xdr:row>
      <xdr:rowOff>160986</xdr:rowOff>
    </xdr:from>
    <xdr:to>
      <xdr:col>4</xdr:col>
      <xdr:colOff>329127</xdr:colOff>
      <xdr:row>6</xdr:row>
      <xdr:rowOff>171718</xdr:rowOff>
    </xdr:to>
    <xdr:sp macro="" textlink="Pivots!A10">
      <xdr:nvSpPr>
        <xdr:cNvPr id="10" name="TextBox 9">
          <a:extLst>
            <a:ext uri="{FF2B5EF4-FFF2-40B4-BE49-F238E27FC236}">
              <a16:creationId xmlns:a16="http://schemas.microsoft.com/office/drawing/2014/main" id="{0F905420-0A34-F156-82B7-FA9CFDCC89E2}"/>
            </a:ext>
          </a:extLst>
        </xdr:cNvPr>
        <xdr:cNvSpPr txBox="1"/>
      </xdr:nvSpPr>
      <xdr:spPr>
        <a:xfrm>
          <a:off x="951606" y="1037465"/>
          <a:ext cx="1241380" cy="186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2618F-D314-4929-89FC-438AB433D627}" type="TxLink">
            <a:rPr lang="en-US" sz="1100" b="1" i="0" u="none" strike="noStrike">
              <a:solidFill>
                <a:schemeClr val="bg1"/>
              </a:solidFill>
              <a:latin typeface="Aptos" panose="020B0004020202020204" pitchFamily="34" charset="0"/>
              <a:cs typeface="Arial"/>
            </a:rPr>
            <a:pPr algn="ctr"/>
            <a:t>218</a:t>
          </a:fld>
          <a:endParaRPr lang="en-US" sz="1100" b="1">
            <a:solidFill>
              <a:schemeClr val="bg1"/>
            </a:solidFill>
            <a:latin typeface="Aptos" panose="020B0004020202020204" pitchFamily="34" charset="0"/>
          </a:endParaRPr>
        </a:p>
      </xdr:txBody>
    </xdr:sp>
    <xdr:clientData/>
  </xdr:twoCellAnchor>
  <xdr:twoCellAnchor>
    <xdr:from>
      <xdr:col>2</xdr:col>
      <xdr:colOff>15314</xdr:colOff>
      <xdr:row>9</xdr:row>
      <xdr:rowOff>46567</xdr:rowOff>
    </xdr:from>
    <xdr:to>
      <xdr:col>4</xdr:col>
      <xdr:colOff>510153</xdr:colOff>
      <xdr:row>14</xdr:row>
      <xdr:rowOff>81685</xdr:rowOff>
    </xdr:to>
    <xdr:sp macro="" textlink="Pivots!B4">
      <xdr:nvSpPr>
        <xdr:cNvPr id="11" name="Rectangle 10">
          <a:extLst>
            <a:ext uri="{FF2B5EF4-FFF2-40B4-BE49-F238E27FC236}">
              <a16:creationId xmlns:a16="http://schemas.microsoft.com/office/drawing/2014/main" id="{DC791122-7F7B-4AFC-A0E7-37C79E220A8A}"/>
            </a:ext>
          </a:extLst>
        </xdr:cNvPr>
        <xdr:cNvSpPr/>
      </xdr:nvSpPr>
      <xdr:spPr>
        <a:xfrm>
          <a:off x="541094" y="1623907"/>
          <a:ext cx="1835959" cy="911418"/>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A8F46E6-26A2-459D-BD20-E6A6659D15D6}" type="TxLink">
            <a:rPr lang="en-US" sz="2400" b="1" i="0" u="none" strike="noStrike">
              <a:solidFill>
                <a:schemeClr val="bg1"/>
              </a:solidFill>
              <a:latin typeface="Aptos Display" panose="020B0004020202020204" pitchFamily="34" charset="0"/>
              <a:ea typeface="+mn-ea"/>
              <a:cs typeface="Arial"/>
            </a:rPr>
            <a:pPr marL="0" indent="0" algn="ctr"/>
            <a:t>$96,623</a:t>
          </a:fld>
          <a:endParaRPr lang="en-US" sz="2400" b="1" i="0" u="none" strike="noStrike">
            <a:solidFill>
              <a:schemeClr val="bg1"/>
            </a:solidFill>
            <a:latin typeface="Aptos Display" panose="020B0004020202020204" pitchFamily="34" charset="0"/>
            <a:ea typeface="+mn-ea"/>
            <a:cs typeface="Arial"/>
          </a:endParaRPr>
        </a:p>
      </xdr:txBody>
    </xdr:sp>
    <xdr:clientData/>
  </xdr:twoCellAnchor>
  <xdr:twoCellAnchor>
    <xdr:from>
      <xdr:col>2</xdr:col>
      <xdr:colOff>123190</xdr:colOff>
      <xdr:row>9</xdr:row>
      <xdr:rowOff>92287</xdr:rowOff>
    </xdr:from>
    <xdr:to>
      <xdr:col>4</xdr:col>
      <xdr:colOff>443230</xdr:colOff>
      <xdr:row>10</xdr:row>
      <xdr:rowOff>92286</xdr:rowOff>
    </xdr:to>
    <xdr:sp macro="" textlink="">
      <xdr:nvSpPr>
        <xdr:cNvPr id="12" name="TextBox 11">
          <a:extLst>
            <a:ext uri="{FF2B5EF4-FFF2-40B4-BE49-F238E27FC236}">
              <a16:creationId xmlns:a16="http://schemas.microsoft.com/office/drawing/2014/main" id="{1399430C-0805-49D9-A028-834FC503B79B}"/>
            </a:ext>
          </a:extLst>
        </xdr:cNvPr>
        <xdr:cNvSpPr txBox="1"/>
      </xdr:nvSpPr>
      <xdr:spPr>
        <a:xfrm>
          <a:off x="648970" y="1669627"/>
          <a:ext cx="1661160" cy="175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ptos" panose="020B0004020202020204" pitchFamily="34" charset="0"/>
            </a:rPr>
            <a:t>Amount</a:t>
          </a:r>
        </a:p>
      </xdr:txBody>
    </xdr:sp>
    <xdr:clientData/>
  </xdr:twoCellAnchor>
  <xdr:twoCellAnchor>
    <xdr:from>
      <xdr:col>2</xdr:col>
      <xdr:colOff>289829</xdr:colOff>
      <xdr:row>12</xdr:row>
      <xdr:rowOff>172416</xdr:rowOff>
    </xdr:from>
    <xdr:to>
      <xdr:col>4</xdr:col>
      <xdr:colOff>193237</xdr:colOff>
      <xdr:row>14</xdr:row>
      <xdr:rowOff>7887</xdr:rowOff>
    </xdr:to>
    <xdr:sp macro="" textlink="Pivots!B10">
      <xdr:nvSpPr>
        <xdr:cNvPr id="14" name="TextBox 13">
          <a:extLst>
            <a:ext uri="{FF2B5EF4-FFF2-40B4-BE49-F238E27FC236}">
              <a16:creationId xmlns:a16="http://schemas.microsoft.com/office/drawing/2014/main" id="{21497459-AB79-415D-ABCE-077E8A929A34}"/>
            </a:ext>
          </a:extLst>
        </xdr:cNvPr>
        <xdr:cNvSpPr txBox="1"/>
      </xdr:nvSpPr>
      <xdr:spPr>
        <a:xfrm>
          <a:off x="815609" y="2275536"/>
          <a:ext cx="1244528" cy="185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557BBD-D49D-48C8-AC64-903AB6780539}" type="TxLink">
            <a:rPr lang="en-US" sz="1100" b="0" i="0" u="none" strike="noStrike">
              <a:solidFill>
                <a:schemeClr val="bg1"/>
              </a:solidFill>
              <a:latin typeface="Arial"/>
              <a:cs typeface="Arial"/>
            </a:rPr>
            <a:pPr algn="ctr"/>
            <a:t>$20,581</a:t>
          </a:fld>
          <a:endParaRPr lang="en-US" sz="1100" b="1">
            <a:solidFill>
              <a:schemeClr val="bg1"/>
            </a:solidFill>
            <a:latin typeface="Aptos" panose="020B0004020202020204" pitchFamily="34" charset="0"/>
          </a:endParaRPr>
        </a:p>
      </xdr:txBody>
    </xdr:sp>
    <xdr:clientData/>
  </xdr:twoCellAnchor>
  <xdr:twoCellAnchor>
    <xdr:from>
      <xdr:col>1</xdr:col>
      <xdr:colOff>253999</xdr:colOff>
      <xdr:row>16</xdr:row>
      <xdr:rowOff>117687</xdr:rowOff>
    </xdr:from>
    <xdr:to>
      <xdr:col>4</xdr:col>
      <xdr:colOff>484716</xdr:colOff>
      <xdr:row>21</xdr:row>
      <xdr:rowOff>135891</xdr:rowOff>
    </xdr:to>
    <xdr:sp macro="" textlink="Pivots!C4">
      <xdr:nvSpPr>
        <xdr:cNvPr id="15" name="Rectangle 14">
          <a:extLst>
            <a:ext uri="{FF2B5EF4-FFF2-40B4-BE49-F238E27FC236}">
              <a16:creationId xmlns:a16="http://schemas.microsoft.com/office/drawing/2014/main" id="{CD6784ED-AC14-444C-8CAD-0669D18A2102}"/>
            </a:ext>
          </a:extLst>
        </xdr:cNvPr>
        <xdr:cNvSpPr/>
      </xdr:nvSpPr>
      <xdr:spPr>
        <a:xfrm>
          <a:off x="513079" y="2921847"/>
          <a:ext cx="1838537" cy="947844"/>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4582089-5642-41E4-89E6-500FDB7CA7FF}" type="TxLink">
            <a:rPr lang="en-US" sz="2400" b="1" i="0" u="none" strike="noStrike">
              <a:solidFill>
                <a:schemeClr val="bg1"/>
              </a:solidFill>
              <a:latin typeface="Aptos Display" panose="020B0004020202020204" pitchFamily="34" charset="0"/>
              <a:ea typeface="+mn-ea"/>
              <a:cs typeface="Arial"/>
            </a:rPr>
            <a:pPr marL="0" indent="0" algn="ctr"/>
            <a:t>89,850</a:t>
          </a:fld>
          <a:endParaRPr lang="en-US" sz="2400" b="1" i="0" u="none" strike="noStrike">
            <a:solidFill>
              <a:schemeClr val="bg1"/>
            </a:solidFill>
            <a:latin typeface="Aptos Display" panose="020B0004020202020204" pitchFamily="34" charset="0"/>
            <a:ea typeface="+mn-ea"/>
            <a:cs typeface="Arial"/>
          </a:endParaRPr>
        </a:p>
      </xdr:txBody>
    </xdr:sp>
    <xdr:clientData/>
  </xdr:twoCellAnchor>
  <xdr:twoCellAnchor>
    <xdr:from>
      <xdr:col>2</xdr:col>
      <xdr:colOff>80856</xdr:colOff>
      <xdr:row>17</xdr:row>
      <xdr:rowOff>13970</xdr:rowOff>
    </xdr:from>
    <xdr:to>
      <xdr:col>4</xdr:col>
      <xdr:colOff>400896</xdr:colOff>
      <xdr:row>18</xdr:row>
      <xdr:rowOff>13970</xdr:rowOff>
    </xdr:to>
    <xdr:sp macro="" textlink="">
      <xdr:nvSpPr>
        <xdr:cNvPr id="16" name="TextBox 15">
          <a:extLst>
            <a:ext uri="{FF2B5EF4-FFF2-40B4-BE49-F238E27FC236}">
              <a16:creationId xmlns:a16="http://schemas.microsoft.com/office/drawing/2014/main" id="{31C1337C-3E82-4863-914C-1F9C431AF684}"/>
            </a:ext>
          </a:extLst>
        </xdr:cNvPr>
        <xdr:cNvSpPr txBox="1"/>
      </xdr:nvSpPr>
      <xdr:spPr>
        <a:xfrm>
          <a:off x="606636" y="2993390"/>
          <a:ext cx="166116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ptos" panose="020B0004020202020204" pitchFamily="34" charset="0"/>
            </a:rPr>
            <a:t>Duration</a:t>
          </a:r>
        </a:p>
      </xdr:txBody>
    </xdr:sp>
    <xdr:clientData/>
  </xdr:twoCellAnchor>
  <xdr:twoCellAnchor>
    <xdr:from>
      <xdr:col>2</xdr:col>
      <xdr:colOff>217015</xdr:colOff>
      <xdr:row>20</xdr:row>
      <xdr:rowOff>118653</xdr:rowOff>
    </xdr:from>
    <xdr:to>
      <xdr:col>4</xdr:col>
      <xdr:colOff>120423</xdr:colOff>
      <xdr:row>21</xdr:row>
      <xdr:rowOff>137005</xdr:rowOff>
    </xdr:to>
    <xdr:sp macro="" textlink="Pivots!C10">
      <xdr:nvSpPr>
        <xdr:cNvPr id="18" name="TextBox 17">
          <a:extLst>
            <a:ext uri="{FF2B5EF4-FFF2-40B4-BE49-F238E27FC236}">
              <a16:creationId xmlns:a16="http://schemas.microsoft.com/office/drawing/2014/main" id="{E3EB6E97-DC1F-4C7E-8C32-58C7D0BD8838}"/>
            </a:ext>
          </a:extLst>
        </xdr:cNvPr>
        <xdr:cNvSpPr txBox="1"/>
      </xdr:nvSpPr>
      <xdr:spPr>
        <a:xfrm>
          <a:off x="742795" y="3661953"/>
          <a:ext cx="1244528" cy="208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0632E4-3060-4EEF-B42C-F23348FF2547}" type="TxLink">
            <a:rPr lang="en-US" sz="1100" b="0" i="0" u="none" strike="noStrike">
              <a:solidFill>
                <a:srgbClr val="000000"/>
              </a:solidFill>
              <a:latin typeface="Arial"/>
              <a:cs typeface="Arial"/>
            </a:rPr>
            <a:pPr algn="ctr"/>
            <a:t>19,300</a:t>
          </a:fld>
          <a:endParaRPr lang="en-US" sz="1100" b="1">
            <a:solidFill>
              <a:schemeClr val="bg1"/>
            </a:solidFill>
            <a:latin typeface="Aptos" panose="020B0004020202020204" pitchFamily="34" charset="0"/>
          </a:endParaRPr>
        </a:p>
      </xdr:txBody>
    </xdr:sp>
    <xdr:clientData/>
  </xdr:twoCellAnchor>
  <xdr:twoCellAnchor>
    <xdr:from>
      <xdr:col>1</xdr:col>
      <xdr:colOff>228600</xdr:colOff>
      <xdr:row>23</xdr:row>
      <xdr:rowOff>99060</xdr:rowOff>
    </xdr:from>
    <xdr:to>
      <xdr:col>4</xdr:col>
      <xdr:colOff>457200</xdr:colOff>
      <xdr:row>28</xdr:row>
      <xdr:rowOff>137160</xdr:rowOff>
    </xdr:to>
    <xdr:sp macro="" textlink="Pivots!D4">
      <xdr:nvSpPr>
        <xdr:cNvPr id="19" name="Rectangle 18">
          <a:extLst>
            <a:ext uri="{FF2B5EF4-FFF2-40B4-BE49-F238E27FC236}">
              <a16:creationId xmlns:a16="http://schemas.microsoft.com/office/drawing/2014/main" id="{11F42990-1805-44A1-9651-65E896AE6329}"/>
            </a:ext>
          </a:extLst>
        </xdr:cNvPr>
        <xdr:cNvSpPr/>
      </xdr:nvSpPr>
      <xdr:spPr>
        <a:xfrm>
          <a:off x="487680" y="4213860"/>
          <a:ext cx="1836420" cy="9982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2646D28-1F93-409D-85D8-36DA8567F600}" type="TxLink">
            <a:rPr lang="en-US" sz="2400" b="1" i="0" u="none" strike="noStrike">
              <a:solidFill>
                <a:schemeClr val="bg1"/>
              </a:solidFill>
              <a:latin typeface="Aptos Display" panose="020B0004020202020204" pitchFamily="34" charset="0"/>
              <a:ea typeface="+mn-ea"/>
              <a:cs typeface="Arial"/>
            </a:rPr>
            <a:pPr marL="0" indent="0" algn="ctr"/>
            <a:t>3.9</a:t>
          </a:fld>
          <a:endParaRPr lang="en-US" sz="2400" b="1" i="0" u="none" strike="noStrike">
            <a:solidFill>
              <a:schemeClr val="bg1"/>
            </a:solidFill>
            <a:latin typeface="Aptos Display" panose="020B0004020202020204" pitchFamily="34" charset="0"/>
            <a:ea typeface="+mn-ea"/>
            <a:cs typeface="Arial"/>
          </a:endParaRPr>
        </a:p>
      </xdr:txBody>
    </xdr:sp>
    <xdr:clientData/>
  </xdr:twoCellAnchor>
  <xdr:twoCellAnchor>
    <xdr:from>
      <xdr:col>2</xdr:col>
      <xdr:colOff>83820</xdr:colOff>
      <xdr:row>23</xdr:row>
      <xdr:rowOff>144780</xdr:rowOff>
    </xdr:from>
    <xdr:to>
      <xdr:col>4</xdr:col>
      <xdr:colOff>403860</xdr:colOff>
      <xdr:row>24</xdr:row>
      <xdr:rowOff>137160</xdr:rowOff>
    </xdr:to>
    <xdr:sp macro="" textlink="">
      <xdr:nvSpPr>
        <xdr:cNvPr id="20" name="TextBox 19">
          <a:extLst>
            <a:ext uri="{FF2B5EF4-FFF2-40B4-BE49-F238E27FC236}">
              <a16:creationId xmlns:a16="http://schemas.microsoft.com/office/drawing/2014/main" id="{E855D0C6-F33E-42BD-BC49-E47603993B57}"/>
            </a:ext>
          </a:extLst>
        </xdr:cNvPr>
        <xdr:cNvSpPr txBox="1"/>
      </xdr:nvSpPr>
      <xdr:spPr>
        <a:xfrm>
          <a:off x="609600" y="4259580"/>
          <a:ext cx="16611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ptos" panose="020B0004020202020204" pitchFamily="34" charset="0"/>
            </a:rPr>
            <a:t>Avg. Rating</a:t>
          </a:r>
        </a:p>
      </xdr:txBody>
    </xdr:sp>
    <xdr:clientData/>
  </xdr:twoCellAnchor>
  <xdr:twoCellAnchor>
    <xdr:from>
      <xdr:col>2</xdr:col>
      <xdr:colOff>258079</xdr:colOff>
      <xdr:row>27</xdr:row>
      <xdr:rowOff>100026</xdr:rowOff>
    </xdr:from>
    <xdr:to>
      <xdr:col>4</xdr:col>
      <xdr:colOff>161487</xdr:colOff>
      <xdr:row>28</xdr:row>
      <xdr:rowOff>110757</xdr:rowOff>
    </xdr:to>
    <xdr:sp macro="" textlink="Pivots!D10">
      <xdr:nvSpPr>
        <xdr:cNvPr id="22" name="TextBox 21">
          <a:extLst>
            <a:ext uri="{FF2B5EF4-FFF2-40B4-BE49-F238E27FC236}">
              <a16:creationId xmlns:a16="http://schemas.microsoft.com/office/drawing/2014/main" id="{5128238F-9475-45A9-9D5E-2713252609C1}"/>
            </a:ext>
          </a:extLst>
        </xdr:cNvPr>
        <xdr:cNvSpPr txBox="1"/>
      </xdr:nvSpPr>
      <xdr:spPr>
        <a:xfrm>
          <a:off x="783859" y="4984446"/>
          <a:ext cx="1244528" cy="20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C88157-DB3C-4971-8280-ABF1BCBBDB72}" type="TxLink">
            <a:rPr lang="en-US" sz="1100" b="0" i="0" u="none" strike="noStrike">
              <a:solidFill>
                <a:srgbClr val="000000"/>
              </a:solidFill>
              <a:latin typeface="Arial"/>
              <a:cs typeface="Arial"/>
            </a:rPr>
            <a:pPr algn="ctr"/>
            <a:t>3.9</a:t>
          </a:fld>
          <a:endParaRPr lang="en-US" sz="1100" b="1">
            <a:solidFill>
              <a:schemeClr val="bg1"/>
            </a:solidFill>
            <a:latin typeface="Aptos" panose="020B0004020202020204" pitchFamily="34" charset="0"/>
          </a:endParaRPr>
        </a:p>
      </xdr:txBody>
    </xdr:sp>
    <xdr:clientData/>
  </xdr:twoCellAnchor>
  <xdr:twoCellAnchor>
    <xdr:from>
      <xdr:col>1</xdr:col>
      <xdr:colOff>175260</xdr:colOff>
      <xdr:row>30</xdr:row>
      <xdr:rowOff>121920</xdr:rowOff>
    </xdr:from>
    <xdr:to>
      <xdr:col>4</xdr:col>
      <xdr:colOff>403860</xdr:colOff>
      <xdr:row>35</xdr:row>
      <xdr:rowOff>160021</xdr:rowOff>
    </xdr:to>
    <xdr:sp macro="" textlink="Pivots!E4">
      <xdr:nvSpPr>
        <xdr:cNvPr id="23" name="Rectangle 22">
          <a:extLst>
            <a:ext uri="{FF2B5EF4-FFF2-40B4-BE49-F238E27FC236}">
              <a16:creationId xmlns:a16="http://schemas.microsoft.com/office/drawing/2014/main" id="{DBD4CC38-C424-4F6D-BFAF-0A68243B5C4F}"/>
            </a:ext>
          </a:extLst>
        </xdr:cNvPr>
        <xdr:cNvSpPr/>
      </xdr:nvSpPr>
      <xdr:spPr>
        <a:xfrm>
          <a:off x="434340" y="5577840"/>
          <a:ext cx="1836420" cy="998221"/>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38E45-5131-45DF-BCAA-E133EA9FB328}" type="TxLink">
            <a:rPr lang="en-US" sz="2400" b="1" i="0" u="none" strike="noStrike">
              <a:solidFill>
                <a:schemeClr val="bg1"/>
              </a:solidFill>
              <a:latin typeface="Aptos Display" panose="020B0004020202020204" pitchFamily="34" charset="0"/>
              <a:ea typeface="+mn-ea"/>
              <a:cs typeface="Arial"/>
            </a:rPr>
            <a:pPr marL="0" indent="0" algn="ctr"/>
            <a:t>307</a:t>
          </a:fld>
          <a:endParaRPr lang="en-US" sz="2400" b="1" i="0" u="none" strike="noStrike">
            <a:solidFill>
              <a:schemeClr val="bg1"/>
            </a:solidFill>
            <a:latin typeface="Aptos Display" panose="020B0004020202020204" pitchFamily="34" charset="0"/>
            <a:ea typeface="+mn-ea"/>
            <a:cs typeface="Arial"/>
          </a:endParaRPr>
        </a:p>
      </xdr:txBody>
    </xdr:sp>
    <xdr:clientData/>
  </xdr:twoCellAnchor>
  <xdr:twoCellAnchor>
    <xdr:from>
      <xdr:col>2</xdr:col>
      <xdr:colOff>30480</xdr:colOff>
      <xdr:row>30</xdr:row>
      <xdr:rowOff>167640</xdr:rowOff>
    </xdr:from>
    <xdr:to>
      <xdr:col>4</xdr:col>
      <xdr:colOff>350520</xdr:colOff>
      <xdr:row>31</xdr:row>
      <xdr:rowOff>160020</xdr:rowOff>
    </xdr:to>
    <xdr:sp macro="" textlink="">
      <xdr:nvSpPr>
        <xdr:cNvPr id="24" name="TextBox 23">
          <a:extLst>
            <a:ext uri="{FF2B5EF4-FFF2-40B4-BE49-F238E27FC236}">
              <a16:creationId xmlns:a16="http://schemas.microsoft.com/office/drawing/2014/main" id="{31163C0A-526A-4C25-A13F-0C9DAC357574}"/>
            </a:ext>
          </a:extLst>
        </xdr:cNvPr>
        <xdr:cNvSpPr txBox="1"/>
      </xdr:nvSpPr>
      <xdr:spPr>
        <a:xfrm>
          <a:off x="556260" y="5623560"/>
          <a:ext cx="16611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ptos" panose="020B0004020202020204" pitchFamily="34" charset="0"/>
            </a:rPr>
            <a:t>Happy</a:t>
          </a:r>
          <a:r>
            <a:rPr lang="en-US" sz="1100" b="1" baseline="0">
              <a:solidFill>
                <a:schemeClr val="bg1"/>
              </a:solidFill>
              <a:latin typeface="Aptos" panose="020B0004020202020204" pitchFamily="34" charset="0"/>
            </a:rPr>
            <a:t> Callers</a:t>
          </a:r>
        </a:p>
      </xdr:txBody>
    </xdr:sp>
    <xdr:clientData/>
  </xdr:twoCellAnchor>
  <xdr:twoCellAnchor>
    <xdr:from>
      <xdr:col>2</xdr:col>
      <xdr:colOff>181879</xdr:colOff>
      <xdr:row>34</xdr:row>
      <xdr:rowOff>46686</xdr:rowOff>
    </xdr:from>
    <xdr:to>
      <xdr:col>4</xdr:col>
      <xdr:colOff>85287</xdr:colOff>
      <xdr:row>35</xdr:row>
      <xdr:rowOff>65038</xdr:rowOff>
    </xdr:to>
    <xdr:sp macro="" textlink="Pivots!E10">
      <xdr:nvSpPr>
        <xdr:cNvPr id="26" name="TextBox 25">
          <a:extLst>
            <a:ext uri="{FF2B5EF4-FFF2-40B4-BE49-F238E27FC236}">
              <a16:creationId xmlns:a16="http://schemas.microsoft.com/office/drawing/2014/main" id="{B1FBCE09-BE88-4D95-9619-411660A1EFE7}"/>
            </a:ext>
          </a:extLst>
        </xdr:cNvPr>
        <xdr:cNvSpPr txBox="1"/>
      </xdr:nvSpPr>
      <xdr:spPr>
        <a:xfrm>
          <a:off x="707659" y="6272226"/>
          <a:ext cx="1244528" cy="208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0FA429-981F-4A49-B823-7B650AC7ED22}" type="TxLink">
            <a:rPr lang="en-US" sz="1100" b="0" i="0" u="none" strike="noStrike">
              <a:solidFill>
                <a:srgbClr val="000000"/>
              </a:solidFill>
              <a:latin typeface="Arial"/>
              <a:cs typeface="Arial"/>
            </a:rPr>
            <a:pPr algn="ctr"/>
            <a:t>74</a:t>
          </a:fld>
          <a:endParaRPr lang="en-US" sz="1100" b="1">
            <a:solidFill>
              <a:schemeClr val="bg1"/>
            </a:solidFill>
            <a:latin typeface="Aptos" panose="020B0004020202020204" pitchFamily="34" charset="0"/>
          </a:endParaRPr>
        </a:p>
      </xdr:txBody>
    </xdr:sp>
    <xdr:clientData/>
  </xdr:twoCellAnchor>
  <xdr:twoCellAnchor editAs="oneCell">
    <xdr:from>
      <xdr:col>2</xdr:col>
      <xdr:colOff>412750</xdr:colOff>
      <xdr:row>9</xdr:row>
      <xdr:rowOff>69427</xdr:rowOff>
    </xdr:from>
    <xdr:to>
      <xdr:col>2</xdr:col>
      <xdr:colOff>668020</xdr:colOff>
      <xdr:row>10</xdr:row>
      <xdr:rowOff>140969</xdr:rowOff>
    </xdr:to>
    <xdr:pic>
      <xdr:nvPicPr>
        <xdr:cNvPr id="28" name="Graphic 27" descr="Money with solid fill">
          <a:extLst>
            <a:ext uri="{FF2B5EF4-FFF2-40B4-BE49-F238E27FC236}">
              <a16:creationId xmlns:a16="http://schemas.microsoft.com/office/drawing/2014/main" id="{F5EE448F-3911-2028-1402-5DC821D8B1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8530" y="1646767"/>
          <a:ext cx="255270" cy="246803"/>
        </a:xfrm>
        <a:prstGeom prst="rect">
          <a:avLst/>
        </a:prstGeom>
      </xdr:spPr>
    </xdr:pic>
    <xdr:clientData/>
  </xdr:twoCellAnchor>
  <xdr:twoCellAnchor editAs="oneCell">
    <xdr:from>
      <xdr:col>2</xdr:col>
      <xdr:colOff>438996</xdr:colOff>
      <xdr:row>16</xdr:row>
      <xdr:rowOff>163407</xdr:rowOff>
    </xdr:from>
    <xdr:to>
      <xdr:col>2</xdr:col>
      <xdr:colOff>652356</xdr:colOff>
      <xdr:row>18</xdr:row>
      <xdr:rowOff>21589</xdr:rowOff>
    </xdr:to>
    <xdr:pic>
      <xdr:nvPicPr>
        <xdr:cNvPr id="30" name="Graphic 29" descr="Hourglass Finished with solid fill">
          <a:extLst>
            <a:ext uri="{FF2B5EF4-FFF2-40B4-BE49-F238E27FC236}">
              <a16:creationId xmlns:a16="http://schemas.microsoft.com/office/drawing/2014/main" id="{85D07D84-EBD3-F15F-D7B3-5BACE0FA926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64776" y="2967567"/>
          <a:ext cx="213360" cy="208703"/>
        </a:xfrm>
        <a:prstGeom prst="rect">
          <a:avLst/>
        </a:prstGeom>
      </xdr:spPr>
    </xdr:pic>
    <xdr:clientData/>
  </xdr:twoCellAnchor>
  <xdr:twoCellAnchor editAs="oneCell">
    <xdr:from>
      <xdr:col>2</xdr:col>
      <xdr:colOff>358140</xdr:colOff>
      <xdr:row>23</xdr:row>
      <xdr:rowOff>144780</xdr:rowOff>
    </xdr:from>
    <xdr:to>
      <xdr:col>2</xdr:col>
      <xdr:colOff>518160</xdr:colOff>
      <xdr:row>24</xdr:row>
      <xdr:rowOff>106680</xdr:rowOff>
    </xdr:to>
    <xdr:pic>
      <xdr:nvPicPr>
        <xdr:cNvPr id="32" name="Graphic 31" descr="Star with solid fill">
          <a:extLst>
            <a:ext uri="{FF2B5EF4-FFF2-40B4-BE49-F238E27FC236}">
              <a16:creationId xmlns:a16="http://schemas.microsoft.com/office/drawing/2014/main" id="{7D684A13-CCA7-103D-0BD0-2F1C3467FE7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83920" y="4259580"/>
          <a:ext cx="160020" cy="160020"/>
        </a:xfrm>
        <a:prstGeom prst="rect">
          <a:avLst/>
        </a:prstGeom>
      </xdr:spPr>
    </xdr:pic>
    <xdr:clientData/>
  </xdr:twoCellAnchor>
  <xdr:twoCellAnchor editAs="oneCell">
    <xdr:from>
      <xdr:col>2</xdr:col>
      <xdr:colOff>175260</xdr:colOff>
      <xdr:row>30</xdr:row>
      <xdr:rowOff>167640</xdr:rowOff>
    </xdr:from>
    <xdr:to>
      <xdr:col>2</xdr:col>
      <xdr:colOff>373380</xdr:colOff>
      <xdr:row>31</xdr:row>
      <xdr:rowOff>132198</xdr:rowOff>
    </xdr:to>
    <xdr:pic>
      <xdr:nvPicPr>
        <xdr:cNvPr id="34" name="Graphic 33" descr="Angel face with solid fill with solid fill">
          <a:extLst>
            <a:ext uri="{FF2B5EF4-FFF2-40B4-BE49-F238E27FC236}">
              <a16:creationId xmlns:a16="http://schemas.microsoft.com/office/drawing/2014/main" id="{F5A0C79C-0AC7-4E59-E907-DBA7843D73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040" y="5623560"/>
          <a:ext cx="198120" cy="198120"/>
        </a:xfrm>
        <a:prstGeom prst="rect">
          <a:avLst/>
        </a:prstGeom>
      </xdr:spPr>
    </xdr:pic>
    <xdr:clientData/>
  </xdr:twoCellAnchor>
  <xdr:twoCellAnchor>
    <xdr:from>
      <xdr:col>2</xdr:col>
      <xdr:colOff>234600</xdr:colOff>
      <xdr:row>20</xdr:row>
      <xdr:rowOff>102859</xdr:rowOff>
    </xdr:from>
    <xdr:to>
      <xdr:col>4</xdr:col>
      <xdr:colOff>138008</xdr:colOff>
      <xdr:row>21</xdr:row>
      <xdr:rowOff>125282</xdr:rowOff>
    </xdr:to>
    <xdr:sp macro="" textlink="Pivots!C10">
      <xdr:nvSpPr>
        <xdr:cNvPr id="35" name="TextBox 34">
          <a:extLst>
            <a:ext uri="{FF2B5EF4-FFF2-40B4-BE49-F238E27FC236}">
              <a16:creationId xmlns:a16="http://schemas.microsoft.com/office/drawing/2014/main" id="{2AD572A2-4BDE-52A2-2512-921FA8ACC6D9}"/>
            </a:ext>
          </a:extLst>
        </xdr:cNvPr>
        <xdr:cNvSpPr txBox="1"/>
      </xdr:nvSpPr>
      <xdr:spPr>
        <a:xfrm>
          <a:off x="760380" y="3646159"/>
          <a:ext cx="1244528" cy="212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0632E4-3060-4EEF-B42C-F23348FF2547}" type="TxLink">
            <a:rPr lang="en-US" sz="1100" b="0" i="0" u="none" strike="noStrike">
              <a:solidFill>
                <a:schemeClr val="bg1"/>
              </a:solidFill>
              <a:latin typeface="Arial"/>
              <a:cs typeface="Arial"/>
            </a:rPr>
            <a:pPr algn="ctr"/>
            <a:t>19,300</a:t>
          </a:fld>
          <a:endParaRPr lang="en-US" sz="1100" b="1">
            <a:solidFill>
              <a:schemeClr val="bg1"/>
            </a:solidFill>
            <a:latin typeface="Aptos" panose="020B0004020202020204" pitchFamily="34" charset="0"/>
          </a:endParaRPr>
        </a:p>
      </xdr:txBody>
    </xdr:sp>
    <xdr:clientData/>
  </xdr:twoCellAnchor>
  <xdr:twoCellAnchor>
    <xdr:from>
      <xdr:col>2</xdr:col>
      <xdr:colOff>275664</xdr:colOff>
      <xdr:row>27</xdr:row>
      <xdr:rowOff>88889</xdr:rowOff>
    </xdr:from>
    <xdr:to>
      <xdr:col>4</xdr:col>
      <xdr:colOff>179072</xdr:colOff>
      <xdr:row>28</xdr:row>
      <xdr:rowOff>99620</xdr:rowOff>
    </xdr:to>
    <xdr:sp macro="" textlink="Pivots!D10">
      <xdr:nvSpPr>
        <xdr:cNvPr id="36" name="TextBox 35">
          <a:extLst>
            <a:ext uri="{FF2B5EF4-FFF2-40B4-BE49-F238E27FC236}">
              <a16:creationId xmlns:a16="http://schemas.microsoft.com/office/drawing/2014/main" id="{F31752A8-F5FB-378E-6C8B-F8B6820FA281}"/>
            </a:ext>
          </a:extLst>
        </xdr:cNvPr>
        <xdr:cNvSpPr txBox="1"/>
      </xdr:nvSpPr>
      <xdr:spPr>
        <a:xfrm>
          <a:off x="801444" y="4973309"/>
          <a:ext cx="1244528" cy="20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C88157-DB3C-4971-8280-ABF1BCBBDB72}" type="TxLink">
            <a:rPr lang="en-US" sz="1100" b="0" i="0" u="none" strike="noStrike">
              <a:solidFill>
                <a:schemeClr val="bg1"/>
              </a:solidFill>
              <a:latin typeface="Arial"/>
              <a:cs typeface="Arial"/>
            </a:rPr>
            <a:pPr algn="ctr"/>
            <a:t>3.9</a:t>
          </a:fld>
          <a:endParaRPr lang="en-US" sz="1100" b="1">
            <a:solidFill>
              <a:schemeClr val="bg1"/>
            </a:solidFill>
            <a:latin typeface="Aptos" panose="020B0004020202020204" pitchFamily="34" charset="0"/>
          </a:endParaRPr>
        </a:p>
      </xdr:txBody>
    </xdr:sp>
    <xdr:clientData/>
  </xdr:twoCellAnchor>
  <xdr:twoCellAnchor>
    <xdr:from>
      <xdr:col>2</xdr:col>
      <xdr:colOff>199464</xdr:colOff>
      <xdr:row>34</xdr:row>
      <xdr:rowOff>34963</xdr:rowOff>
    </xdr:from>
    <xdr:to>
      <xdr:col>4</xdr:col>
      <xdr:colOff>102872</xdr:colOff>
      <xdr:row>35</xdr:row>
      <xdr:rowOff>53315</xdr:rowOff>
    </xdr:to>
    <xdr:sp macro="" textlink="Pivots!E10">
      <xdr:nvSpPr>
        <xdr:cNvPr id="37" name="TextBox 36">
          <a:extLst>
            <a:ext uri="{FF2B5EF4-FFF2-40B4-BE49-F238E27FC236}">
              <a16:creationId xmlns:a16="http://schemas.microsoft.com/office/drawing/2014/main" id="{553FC817-0534-CEEF-0C4B-B42278226023}"/>
            </a:ext>
          </a:extLst>
        </xdr:cNvPr>
        <xdr:cNvSpPr txBox="1"/>
      </xdr:nvSpPr>
      <xdr:spPr>
        <a:xfrm>
          <a:off x="725244" y="6260503"/>
          <a:ext cx="1244528" cy="208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0FA429-981F-4A49-B823-7B650AC7ED22}" type="TxLink">
            <a:rPr lang="en-US" sz="1100" b="0" i="0" u="none" strike="noStrike">
              <a:solidFill>
                <a:schemeClr val="bg1"/>
              </a:solidFill>
              <a:latin typeface="Arial"/>
              <a:cs typeface="Arial"/>
            </a:rPr>
            <a:pPr algn="ctr"/>
            <a:t>74</a:t>
          </a:fld>
          <a:endParaRPr lang="en-US" sz="1100" b="1">
            <a:solidFill>
              <a:schemeClr val="bg1"/>
            </a:solidFill>
            <a:latin typeface="Aptos" panose="020B0004020202020204" pitchFamily="34" charset="0"/>
          </a:endParaRPr>
        </a:p>
      </xdr:txBody>
    </xdr:sp>
    <xdr:clientData/>
  </xdr:twoCellAnchor>
  <xdr:twoCellAnchor>
    <xdr:from>
      <xdr:col>5</xdr:col>
      <xdr:colOff>59634</xdr:colOff>
      <xdr:row>1</xdr:row>
      <xdr:rowOff>152402</xdr:rowOff>
    </xdr:from>
    <xdr:to>
      <xdr:col>10</xdr:col>
      <xdr:colOff>503583</xdr:colOff>
      <xdr:row>16</xdr:row>
      <xdr:rowOff>59635</xdr:rowOff>
    </xdr:to>
    <xdr:graphicFrame macro="">
      <xdr:nvGraphicFramePr>
        <xdr:cNvPr id="40" name="Chart 39">
          <a:extLst>
            <a:ext uri="{FF2B5EF4-FFF2-40B4-BE49-F238E27FC236}">
              <a16:creationId xmlns:a16="http://schemas.microsoft.com/office/drawing/2014/main" id="{25D3B1F2-A147-409A-9AA3-937D268D6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530088</xdr:colOff>
      <xdr:row>2</xdr:row>
      <xdr:rowOff>2</xdr:rowOff>
    </xdr:from>
    <xdr:to>
      <xdr:col>15</xdr:col>
      <xdr:colOff>53340</xdr:colOff>
      <xdr:row>16</xdr:row>
      <xdr:rowOff>83820</xdr:rowOff>
    </xdr:to>
    <xdr:graphicFrame macro="">
      <xdr:nvGraphicFramePr>
        <xdr:cNvPr id="41" name="Chart 40">
          <a:extLst>
            <a:ext uri="{FF2B5EF4-FFF2-40B4-BE49-F238E27FC236}">
              <a16:creationId xmlns:a16="http://schemas.microsoft.com/office/drawing/2014/main" id="{28C49B32-10D6-4ECC-81BA-C9DFA2880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655321</xdr:colOff>
      <xdr:row>17</xdr:row>
      <xdr:rowOff>160020</xdr:rowOff>
    </xdr:from>
    <xdr:to>
      <xdr:col>10</xdr:col>
      <xdr:colOff>403860</xdr:colOff>
      <xdr:row>35</xdr:row>
      <xdr:rowOff>83820</xdr:rowOff>
    </xdr:to>
    <xdr:graphicFrame macro="">
      <xdr:nvGraphicFramePr>
        <xdr:cNvPr id="42" name="Chart 41">
          <a:extLst>
            <a:ext uri="{FF2B5EF4-FFF2-40B4-BE49-F238E27FC236}">
              <a16:creationId xmlns:a16="http://schemas.microsoft.com/office/drawing/2014/main" id="{82F8B78A-79FD-4C2D-91A7-BA4A8A183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396240</xdr:colOff>
      <xdr:row>17</xdr:row>
      <xdr:rowOff>129540</xdr:rowOff>
    </xdr:from>
    <xdr:to>
      <xdr:col>15</xdr:col>
      <xdr:colOff>45720</xdr:colOff>
      <xdr:row>35</xdr:row>
      <xdr:rowOff>45720</xdr:rowOff>
    </xdr:to>
    <xdr:graphicFrame macro="">
      <xdr:nvGraphicFramePr>
        <xdr:cNvPr id="43" name="Chart 42">
          <a:extLst>
            <a:ext uri="{FF2B5EF4-FFF2-40B4-BE49-F238E27FC236}">
              <a16:creationId xmlns:a16="http://schemas.microsoft.com/office/drawing/2014/main" id="{F336A350-AA96-469F-B3AC-1F648E98F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271307</xdr:colOff>
      <xdr:row>17</xdr:row>
      <xdr:rowOff>124047</xdr:rowOff>
    </xdr:from>
    <xdr:to>
      <xdr:col>17</xdr:col>
      <xdr:colOff>469605</xdr:colOff>
      <xdr:row>27</xdr:row>
      <xdr:rowOff>53164</xdr:rowOff>
    </xdr:to>
    <mc:AlternateContent xmlns:mc="http://schemas.openxmlformats.org/markup-compatibility/2006" xmlns:a14="http://schemas.microsoft.com/office/drawing/2010/main">
      <mc:Choice Requires="a14">
        <xdr:graphicFrame macro="">
          <xdr:nvGraphicFramePr>
            <xdr:cNvPr id="39" name="Representative 1">
              <a:extLst>
                <a:ext uri="{FF2B5EF4-FFF2-40B4-BE49-F238E27FC236}">
                  <a16:creationId xmlns:a16="http://schemas.microsoft.com/office/drawing/2014/main" id="{BBD5AD2C-EC5B-4E93-BD43-8C72D4F1567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9548214" y="3508745"/>
              <a:ext cx="1545089" cy="1860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425834</xdr:colOff>
      <xdr:row>2</xdr:row>
      <xdr:rowOff>12759</xdr:rowOff>
    </xdr:from>
    <xdr:to>
      <xdr:col>20</xdr:col>
      <xdr:colOff>209638</xdr:colOff>
      <xdr:row>16</xdr:row>
      <xdr:rowOff>35442</xdr:rowOff>
    </xdr:to>
    <xdr:graphicFrame macro="">
      <xdr:nvGraphicFramePr>
        <xdr:cNvPr id="47" name="Chart 46">
          <a:extLst>
            <a:ext uri="{FF2B5EF4-FFF2-40B4-BE49-F238E27FC236}">
              <a16:creationId xmlns:a16="http://schemas.microsoft.com/office/drawing/2014/main" id="{8E475365-A9B0-49C3-8F2A-6D13C2218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406695</xdr:colOff>
      <xdr:row>2</xdr:row>
      <xdr:rowOff>21619</xdr:rowOff>
    </xdr:from>
    <xdr:to>
      <xdr:col>24</xdr:col>
      <xdr:colOff>637954</xdr:colOff>
      <xdr:row>16</xdr:row>
      <xdr:rowOff>35442</xdr:rowOff>
    </xdr:to>
    <xdr:graphicFrame macro="">
      <xdr:nvGraphicFramePr>
        <xdr:cNvPr id="48" name="Chart 47">
          <a:extLst>
            <a:ext uri="{FF2B5EF4-FFF2-40B4-BE49-F238E27FC236}">
              <a16:creationId xmlns:a16="http://schemas.microsoft.com/office/drawing/2014/main" id="{E18D91A0-D248-46AF-B12A-9FA32FF62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5654745367" backgroundQuery="1" createdVersion="8" refreshedVersion="8" minRefreshableVersion="3" recordCount="0" supportSubquery="1" supportAdvancedDrill="1" xr:uid="{73D8DF64-FF1B-4F62-999A-A662E0043F61}">
  <cacheSource type="external" connectionId="1"/>
  <cacheFields count="4">
    <cacheField name="[Measures].[Total Amount]" caption="Total Amount" numFmtId="0" hierarchy="18" level="32767"/>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1"/>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5655671298" backgroundQuery="1" createdVersion="8" refreshedVersion="8" minRefreshableVersion="3" recordCount="0" supportSubquery="1" supportAdvancedDrill="1" xr:uid="{8A905B95-F6BF-4024-9CC8-C3780833A5C5}">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5656828707" backgroundQuery="1" createdVersion="8" refreshedVersion="8" minRefreshableVersion="3" recordCount="0" supportSubquery="1" supportAdvancedDrill="1" xr:uid="{F277479B-D274-4CE5-A2A4-086D41CDCCA4}">
  <cacheSource type="external" connectionId="1"/>
  <cacheFields count="3">
    <cacheField name="[Measures].[call count]" caption="call count" numFmtId="0" hierarchy="17" level="32767"/>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5657870369" backgroundQuery="1" createdVersion="8" refreshedVersion="8" minRefreshableVersion="3" recordCount="0" supportSubquery="1" supportAdvancedDrill="1" xr:uid="{584C8921-881B-4CC9-8EB4-501235C795EE}">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7922106484" backgroundQuery="1" createdVersion="8" refreshedVersion="8" minRefreshableVersion="3" recordCount="0" supportSubquery="1" supportAdvancedDrill="1" xr:uid="{9FC9A344-2DEC-459A-B9DE-16E9FDDBDFBA}">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7924884262" backgroundQuery="1" createdVersion="8" refreshedVersion="8" minRefreshableVersion="3" recordCount="0" supportSubquery="1" supportAdvancedDrill="1" xr:uid="{B15E6BF1-CCF6-4438-8DC0-D44302A514B5}">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12-01T00:00:00" maxDate="2024-01-01T00:00:00" count="1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7927546295" backgroundQuery="1" createdVersion="8" refreshedVersion="8" minRefreshableVersion="3" recordCount="0" supportSubquery="1" supportAdvancedDrill="1" xr:uid="{ED92D973-956B-4028-B18B-D1275FC0888A}">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7930092589" backgroundQuery="1" createdVersion="8" refreshedVersion="8" minRefreshableVersion="3" recordCount="0" supportSubquery="1" supportAdvancedDrill="1" xr:uid="{ADD8393A-BB2C-49D3-AD93-E193135160C8}">
  <cacheSource type="external" connectionId="1"/>
  <cacheFields count="1">
    <cacheField name="[calls].[Representative].[Representative]" caption="Representative" numFmtId="0" hierarchy="3" level="1">
      <sharedItems count="1">
        <s v="R02"/>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7931365744" backgroundQuery="1" createdVersion="8" refreshedVersion="8" minRefreshableVersion="3" recordCount="0" supportSubquery="1" supportAdvancedDrill="1" xr:uid="{6240BB49-3A70-461A-8A38-4E2B0E36581A}">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il Shaikh" refreshedDate="45954.055647569447" backgroundQuery="1" createdVersion="3" refreshedVersion="8" minRefreshableVersion="3" recordCount="0" supportSubquery="1" supportAdvancedDrill="1" xr:uid="{1A27F36D-16F9-4280-8FA8-531751B6549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03885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867119-9A0B-4609-8FA3-CB2C6699D496}" name="Monthly Trends"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2:C2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5A6E81-35DD-4D62-9190-EF2E5CF68488}"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8:F4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738E7E-30ED-4F47-8DBF-065172EA7D14}" name="Rep Pivot"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BA1FDB-D2E2-41CA-92F9-73B781B209B4}" name="Summary Pivo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DFE66E-9379-43D7-A766-6712DF6D39D4}" name="selected rep" cacheId="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9:A4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4">
      <pivotArea field="0" type="button" dataOnly="0" labelOnly="1" outline="0" axis="axisRow" fieldPosition="0"/>
    </format>
    <format dxfId="3">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3339F9-54AF-4213-9317-070D96957F6A}" name="reps povo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C3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9BB079-20AD-4828-B34B-6967986F2937}" name="weekday trends"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E12:F2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21" format="6"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02AB49-EBAB-4F34-8802-9FAEF86C0503}" name="rep amounts" cacheId="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7">
  <location ref="D47:J66" firstHeaderRow="1" firstDataRow="2" firstDataCol="1"/>
  <pivotFields count="4">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3"/>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name="Total amount" fld="0"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1F9FC4-F56C-406A-8D2B-A7B64A37AD0F}" name="rep satisfaction"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47:B5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DBFA958-6824-4AC8-AAC9-202992498798}" sourceName="[calls].[Representative]">
  <pivotTables>
    <pivotTable tabId="6" name="Rep Pivot"/>
    <pivotTable tabId="6" name="Monthly Trends"/>
    <pivotTable tabId="6" name="weekday trends"/>
    <pivotTable tabId="6" name="selected rep"/>
    <pivotTable tabId="6" name="rep satisfaction"/>
  </pivotTables>
  <data>
    <olap pivotCacheId="199038859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79E88AD4-885F-420C-9223-A500F81B13CC}" cache="Slicer_Representative" caption="Representative" level="1" style="SlicerStyleLight6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2" headerRowBorderDxfId="11" tableBorderDxfId="10" totalsRowBorderDxfId="9">
  <autoFilter ref="Q3:T18" xr:uid="{27158F51-A707-4171-8A04-81FB0AABCBA5}"/>
  <tableColumns count="4">
    <tableColumn id="1" xr3:uid="{02688061-6A8C-4E23-B7FF-D00CD8B58CAC}" name="Customer ID" dataDxfId="8"/>
    <tableColumn id="2" xr3:uid="{771678B6-DB44-426B-9874-B4E421A440D5}" name="Gedner" dataDxfId="7"/>
    <tableColumn id="3" xr3:uid="{B0D41C62-587E-494D-B49A-603F2C05F8D3}" name="Age" dataDxfId="6"/>
    <tableColumn id="4" xr3:uid="{663F92D6-FE31-4D81-9E01-8D066DDC8A88}" name="City"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89" zoomScaleNormal="89" workbookViewId="0">
      <selection activeCell="D7" sqref="D7"/>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F726-B82D-4FAF-9E09-7DCB41B31823}">
  <dimension ref="A3:L66"/>
  <sheetViews>
    <sheetView topLeftCell="A43" zoomScale="122" zoomScaleNormal="122" workbookViewId="0">
      <selection activeCell="K44" sqref="K44:K47"/>
    </sheetView>
  </sheetViews>
  <sheetFormatPr defaultRowHeight="13.8" x14ac:dyDescent="0.25"/>
  <cols>
    <col min="1" max="1" width="13.09765625" bestFit="1" customWidth="1"/>
    <col min="2" max="2" width="9.296875" bestFit="1" customWidth="1"/>
    <col min="3" max="3" width="10.296875" bestFit="1" customWidth="1"/>
    <col min="4" max="4" width="10.5" bestFit="1" customWidth="1"/>
    <col min="5" max="5" width="13.09765625" bestFit="1" customWidth="1"/>
    <col min="6" max="6" width="9.296875" bestFit="1" customWidth="1"/>
    <col min="7" max="9" width="6.3984375" bestFit="1" customWidth="1"/>
    <col min="10" max="10" width="11" bestFit="1" customWidth="1"/>
    <col min="11" max="17" width="8.8984375" bestFit="1" customWidth="1"/>
    <col min="18" max="22" width="7.8984375" bestFit="1" customWidth="1"/>
    <col min="23" max="32" width="8.8984375" bestFit="1" customWidth="1"/>
    <col min="33" max="36" width="7.8984375" bestFit="1" customWidth="1"/>
    <col min="37" max="49" width="8.8984375" bestFit="1" customWidth="1"/>
    <col min="50" max="54" width="7.8984375" bestFit="1" customWidth="1"/>
    <col min="55" max="63" width="8.8984375" bestFit="1" customWidth="1"/>
    <col min="64" max="65" width="7.8984375" bestFit="1" customWidth="1"/>
    <col min="66" max="70" width="8.8984375" bestFit="1" customWidth="1"/>
    <col min="71" max="71" width="7.8984375" bestFit="1" customWidth="1"/>
    <col min="72" max="79" width="8.8984375" bestFit="1" customWidth="1"/>
    <col min="80" max="83" width="7.8984375" bestFit="1" customWidth="1"/>
    <col min="84" max="89" width="8.8984375" bestFit="1" customWidth="1"/>
    <col min="90" max="90" width="7.8984375" bestFit="1" customWidth="1"/>
    <col min="91" max="96" width="8.8984375" bestFit="1" customWidth="1"/>
    <col min="97" max="101" width="7.8984375" bestFit="1" customWidth="1"/>
    <col min="102" max="117" width="8.8984375" bestFit="1" customWidth="1"/>
    <col min="118" max="128" width="9.8984375" bestFit="1" customWidth="1"/>
    <col min="129" max="131" width="8.8984375" bestFit="1" customWidth="1"/>
    <col min="132" max="140" width="9.8984375" bestFit="1" customWidth="1"/>
    <col min="141" max="144" width="8.8984375" bestFit="1" customWidth="1"/>
    <col min="145" max="150" width="9.8984375" bestFit="1" customWidth="1"/>
    <col min="151" max="151" width="11.19921875" bestFit="1" customWidth="1"/>
  </cols>
  <sheetData>
    <row r="3" spans="1:6" x14ac:dyDescent="0.25">
      <c r="A3" t="s">
        <v>1043</v>
      </c>
      <c r="B3" t="s">
        <v>1044</v>
      </c>
      <c r="C3" t="s">
        <v>1045</v>
      </c>
      <c r="D3" t="s">
        <v>1046</v>
      </c>
      <c r="E3" t="s">
        <v>1047</v>
      </c>
    </row>
    <row r="4" spans="1:6" x14ac:dyDescent="0.25">
      <c r="A4" s="22">
        <v>1000</v>
      </c>
      <c r="B4" s="23">
        <v>96623</v>
      </c>
      <c r="C4" s="22">
        <v>89850</v>
      </c>
      <c r="D4" s="24">
        <v>3.8854000000000033</v>
      </c>
      <c r="E4" s="22">
        <v>307</v>
      </c>
    </row>
    <row r="9" spans="1:6" x14ac:dyDescent="0.25">
      <c r="A9" t="s">
        <v>1043</v>
      </c>
      <c r="B9" t="s">
        <v>1044</v>
      </c>
      <c r="C9" t="s">
        <v>1045</v>
      </c>
      <c r="D9" t="s">
        <v>1046</v>
      </c>
      <c r="E9" t="s">
        <v>1047</v>
      </c>
    </row>
    <row r="10" spans="1:6" x14ac:dyDescent="0.25">
      <c r="A10" s="22">
        <v>218</v>
      </c>
      <c r="B10" s="23">
        <v>20581</v>
      </c>
      <c r="C10" s="22">
        <v>19300</v>
      </c>
      <c r="D10" s="24">
        <v>3.8706422018348627</v>
      </c>
      <c r="E10" s="22">
        <v>74</v>
      </c>
    </row>
    <row r="12" spans="1:6" x14ac:dyDescent="0.25">
      <c r="A12" s="20" t="s">
        <v>1041</v>
      </c>
      <c r="B12" t="s">
        <v>1043</v>
      </c>
      <c r="C12" t="s">
        <v>1061</v>
      </c>
      <c r="E12" s="20" t="s">
        <v>1041</v>
      </c>
      <c r="F12" t="s">
        <v>1043</v>
      </c>
    </row>
    <row r="13" spans="1:6" x14ac:dyDescent="0.25">
      <c r="A13" s="21" t="s">
        <v>1049</v>
      </c>
      <c r="B13" s="22">
        <v>19</v>
      </c>
      <c r="C13" s="22">
        <v>19</v>
      </c>
      <c r="E13" s="21" t="s">
        <v>1065</v>
      </c>
      <c r="F13" s="22">
        <v>28</v>
      </c>
    </row>
    <row r="14" spans="1:6" x14ac:dyDescent="0.25">
      <c r="A14" s="21" t="s">
        <v>1050</v>
      </c>
      <c r="B14" s="22">
        <v>10</v>
      </c>
      <c r="C14" s="22">
        <v>10</v>
      </c>
      <c r="E14" s="21" t="s">
        <v>1063</v>
      </c>
      <c r="F14" s="22">
        <v>24</v>
      </c>
    </row>
    <row r="15" spans="1:6" x14ac:dyDescent="0.25">
      <c r="A15" s="21" t="s">
        <v>1051</v>
      </c>
      <c r="B15" s="22">
        <v>40</v>
      </c>
      <c r="C15" s="22">
        <v>40</v>
      </c>
      <c r="E15" s="21" t="s">
        <v>1067</v>
      </c>
      <c r="F15" s="22">
        <v>44</v>
      </c>
    </row>
    <row r="16" spans="1:6" x14ac:dyDescent="0.25">
      <c r="A16" s="21" t="s">
        <v>1052</v>
      </c>
      <c r="B16" s="22">
        <v>40</v>
      </c>
      <c r="C16" s="22">
        <v>40</v>
      </c>
      <c r="E16" s="21" t="s">
        <v>1068</v>
      </c>
      <c r="F16" s="22">
        <v>36</v>
      </c>
    </row>
    <row r="17" spans="1:9" x14ac:dyDescent="0.25">
      <c r="A17" s="21" t="s">
        <v>1053</v>
      </c>
      <c r="B17" s="22">
        <v>13</v>
      </c>
      <c r="C17" s="22">
        <v>13</v>
      </c>
      <c r="E17" s="21" t="s">
        <v>1066</v>
      </c>
      <c r="F17" s="22">
        <v>33</v>
      </c>
    </row>
    <row r="18" spans="1:9" x14ac:dyDescent="0.25">
      <c r="A18" s="21" t="s">
        <v>1054</v>
      </c>
      <c r="B18" s="22">
        <v>12</v>
      </c>
      <c r="C18" s="22">
        <v>12</v>
      </c>
      <c r="E18" s="21" t="s">
        <v>1062</v>
      </c>
      <c r="F18" s="22">
        <v>29</v>
      </c>
    </row>
    <row r="19" spans="1:9" x14ac:dyDescent="0.25">
      <c r="A19" s="21" t="s">
        <v>1055</v>
      </c>
      <c r="B19" s="22">
        <v>9</v>
      </c>
      <c r="C19" s="22">
        <v>9</v>
      </c>
      <c r="E19" s="21" t="s">
        <v>1064</v>
      </c>
      <c r="F19" s="22">
        <v>24</v>
      </c>
    </row>
    <row r="20" spans="1:9" x14ac:dyDescent="0.25">
      <c r="A20" s="21" t="s">
        <v>1056</v>
      </c>
      <c r="B20" s="22">
        <v>13</v>
      </c>
      <c r="C20" s="22">
        <v>13</v>
      </c>
      <c r="E20" s="21" t="s">
        <v>1042</v>
      </c>
      <c r="F20" s="22">
        <v>218</v>
      </c>
    </row>
    <row r="21" spans="1:9" x14ac:dyDescent="0.25">
      <c r="A21" s="21" t="s">
        <v>1057</v>
      </c>
      <c r="B21" s="22">
        <v>18</v>
      </c>
      <c r="C21" s="22">
        <v>18</v>
      </c>
    </row>
    <row r="22" spans="1:9" x14ac:dyDescent="0.25">
      <c r="A22" s="21" t="s">
        <v>1058</v>
      </c>
      <c r="B22" s="22">
        <v>21</v>
      </c>
      <c r="C22" s="22">
        <v>21</v>
      </c>
      <c r="G22" t="s">
        <v>1074</v>
      </c>
      <c r="H22" t="str">
        <f>A40</f>
        <v>R02</v>
      </c>
    </row>
    <row r="23" spans="1:9" x14ac:dyDescent="0.25">
      <c r="A23" s="21" t="s">
        <v>1059</v>
      </c>
      <c r="B23" s="22">
        <v>14</v>
      </c>
      <c r="C23" s="22">
        <v>14</v>
      </c>
    </row>
    <row r="24" spans="1:9" x14ac:dyDescent="0.25">
      <c r="A24" s="21" t="s">
        <v>1060</v>
      </c>
      <c r="B24" s="22">
        <v>9</v>
      </c>
      <c r="C24" s="22">
        <v>9</v>
      </c>
    </row>
    <row r="25" spans="1:9" x14ac:dyDescent="0.25">
      <c r="A25" s="21" t="s">
        <v>1042</v>
      </c>
      <c r="B25" s="22">
        <v>218</v>
      </c>
      <c r="C25" s="22">
        <v>218</v>
      </c>
    </row>
    <row r="29" spans="1:9" x14ac:dyDescent="0.25">
      <c r="A29" s="20" t="s">
        <v>1041</v>
      </c>
      <c r="B29" t="s">
        <v>1043</v>
      </c>
      <c r="C29" t="s">
        <v>1044</v>
      </c>
      <c r="E29" t="s">
        <v>1069</v>
      </c>
      <c r="F29" t="s">
        <v>1070</v>
      </c>
      <c r="G29" t="s">
        <v>1071</v>
      </c>
      <c r="H29" t="s">
        <v>1072</v>
      </c>
      <c r="I29" t="s">
        <v>1073</v>
      </c>
    </row>
    <row r="30" spans="1:9" x14ac:dyDescent="0.25">
      <c r="A30" s="21" t="s">
        <v>11</v>
      </c>
      <c r="B30" s="22">
        <v>189</v>
      </c>
      <c r="C30" s="23">
        <v>18415</v>
      </c>
      <c r="E30" t="str" cm="1">
        <f t="array" ref="E30:G34" xml:space="preserve"> A30:C34</f>
        <v>R01</v>
      </c>
      <c r="F30">
        <v>189</v>
      </c>
      <c r="G30" s="27">
        <v>18415</v>
      </c>
      <c r="H30" t="e">
        <f>IF(E30=H22,F30,NA())</f>
        <v>#N/A</v>
      </c>
      <c r="I30" t="e">
        <f>IF(E30=H22,G30,NA())</f>
        <v>#N/A</v>
      </c>
    </row>
    <row r="31" spans="1:9" x14ac:dyDescent="0.25">
      <c r="A31" s="21" t="s">
        <v>9</v>
      </c>
      <c r="B31" s="22">
        <v>218</v>
      </c>
      <c r="C31" s="23">
        <v>20581</v>
      </c>
      <c r="E31" t="str">
        <v>R02</v>
      </c>
      <c r="F31">
        <v>218</v>
      </c>
      <c r="G31" s="27">
        <v>20581</v>
      </c>
      <c r="H31">
        <f>IF(E31=H22,F31,NA())</f>
        <v>218</v>
      </c>
      <c r="I31">
        <f>IF(E31=H22,G31,NA())</f>
        <v>20581</v>
      </c>
    </row>
    <row r="32" spans="1:9" x14ac:dyDescent="0.25">
      <c r="A32" s="21" t="s">
        <v>6</v>
      </c>
      <c r="B32" s="22">
        <v>207</v>
      </c>
      <c r="C32" s="23">
        <v>20872</v>
      </c>
      <c r="E32" t="str">
        <v>R03</v>
      </c>
      <c r="F32">
        <v>207</v>
      </c>
      <c r="G32" s="27">
        <v>20872</v>
      </c>
      <c r="H32" t="e">
        <f>IF(E32=H22,F32,NA())</f>
        <v>#N/A</v>
      </c>
      <c r="I32" t="e">
        <f>IF(E32=H22,G32,NA())</f>
        <v>#N/A</v>
      </c>
    </row>
    <row r="33" spans="1:12" x14ac:dyDescent="0.25">
      <c r="A33" s="21" t="s">
        <v>13</v>
      </c>
      <c r="B33" s="22">
        <v>186</v>
      </c>
      <c r="C33" s="23">
        <v>16651</v>
      </c>
      <c r="E33" t="str">
        <v>R04</v>
      </c>
      <c r="F33">
        <v>186</v>
      </c>
      <c r="G33" s="27">
        <v>16651</v>
      </c>
      <c r="H33" t="e">
        <f>IF(E33=H22,F33,NA())</f>
        <v>#N/A</v>
      </c>
      <c r="I33" t="e">
        <f>IF(E33=H22,G33,NA())</f>
        <v>#N/A</v>
      </c>
    </row>
    <row r="34" spans="1:12" x14ac:dyDescent="0.25">
      <c r="A34" s="21" t="s">
        <v>10</v>
      </c>
      <c r="B34" s="22">
        <v>200</v>
      </c>
      <c r="C34" s="23">
        <v>20104</v>
      </c>
      <c r="E34" t="str">
        <v>R05</v>
      </c>
      <c r="F34">
        <v>200</v>
      </c>
      <c r="G34" s="27">
        <v>20104</v>
      </c>
      <c r="H34" t="e">
        <f>IF(E34=H22,F34,NA())</f>
        <v>#N/A</v>
      </c>
      <c r="I34" t="e">
        <f>IF(E34=H22,G34,NA())</f>
        <v>#N/A</v>
      </c>
      <c r="L34" t="s">
        <v>1040</v>
      </c>
    </row>
    <row r="35" spans="1:12" x14ac:dyDescent="0.25">
      <c r="A35" s="21" t="s">
        <v>1042</v>
      </c>
      <c r="B35" s="22">
        <v>1000</v>
      </c>
      <c r="C35" s="23">
        <v>96623</v>
      </c>
      <c r="K35" t="s">
        <v>1077</v>
      </c>
    </row>
    <row r="36" spans="1:12" x14ac:dyDescent="0.25">
      <c r="K36" t="s">
        <v>1078</v>
      </c>
      <c r="L36" s="37">
        <f>A10/A4</f>
        <v>0.218</v>
      </c>
    </row>
    <row r="37" spans="1:12" x14ac:dyDescent="0.25">
      <c r="K37" t="s">
        <v>1081</v>
      </c>
      <c r="L37">
        <f>_xlfn.XLOOKUP(A40,E30:E34,F30:F34)</f>
        <v>218</v>
      </c>
    </row>
    <row r="38" spans="1:12" x14ac:dyDescent="0.25">
      <c r="C38" s="20" t="s">
        <v>1043</v>
      </c>
      <c r="D38" s="20" t="s">
        <v>1048</v>
      </c>
      <c r="K38" t="s">
        <v>1071</v>
      </c>
      <c r="L38">
        <f>_xlfn.XLOOKUP(A40,E30:E34,G30:G34)</f>
        <v>20581</v>
      </c>
    </row>
    <row r="39" spans="1:12" x14ac:dyDescent="0.25">
      <c r="A39" s="42" t="s">
        <v>1041</v>
      </c>
      <c r="C39" s="20" t="s">
        <v>1041</v>
      </c>
      <c r="D39" t="s">
        <v>999</v>
      </c>
      <c r="E39" t="s">
        <v>998</v>
      </c>
      <c r="F39" t="s">
        <v>1042</v>
      </c>
    </row>
    <row r="40" spans="1:12" x14ac:dyDescent="0.25">
      <c r="A40" s="28" t="s">
        <v>9</v>
      </c>
      <c r="C40" s="21" t="s">
        <v>1002</v>
      </c>
      <c r="D40" s="22">
        <v>144</v>
      </c>
      <c r="E40" s="22">
        <v>132</v>
      </c>
      <c r="F40" s="22">
        <v>276</v>
      </c>
    </row>
    <row r="41" spans="1:12" x14ac:dyDescent="0.25">
      <c r="C41" s="21" t="s">
        <v>1001</v>
      </c>
      <c r="D41" s="22">
        <v>326</v>
      </c>
      <c r="E41" s="22">
        <v>63</v>
      </c>
      <c r="F41" s="22">
        <v>389</v>
      </c>
      <c r="K41" t="s">
        <v>1079</v>
      </c>
      <c r="L41">
        <f>_xlfn.RANK.AVG(L37,F30:F34)</f>
        <v>1</v>
      </c>
    </row>
    <row r="42" spans="1:12" x14ac:dyDescent="0.25">
      <c r="C42" s="21" t="s">
        <v>1000</v>
      </c>
      <c r="D42" s="22">
        <v>129</v>
      </c>
      <c r="E42" s="22">
        <v>206</v>
      </c>
      <c r="F42" s="22">
        <v>335</v>
      </c>
      <c r="K42" t="s">
        <v>1080</v>
      </c>
      <c r="L42">
        <f>_xlfn.RANK.AVG(L38,G30:G34)</f>
        <v>2</v>
      </c>
    </row>
    <row r="43" spans="1:12" x14ac:dyDescent="0.25">
      <c r="C43" s="21" t="s">
        <v>1042</v>
      </c>
      <c r="D43" s="22">
        <v>599</v>
      </c>
      <c r="E43" s="22">
        <v>401</v>
      </c>
      <c r="F43" s="22">
        <v>1000</v>
      </c>
    </row>
    <row r="44" spans="1:12" ht="18" x14ac:dyDescent="0.35">
      <c r="K44" s="38" t="s">
        <v>1082</v>
      </c>
    </row>
    <row r="45" spans="1:12" ht="18" x14ac:dyDescent="0.35">
      <c r="K45" s="38" t="str">
        <f>"% of calls:"&amp;TEXT(L36,"0%")</f>
        <v>% of calls:22%</v>
      </c>
    </row>
    <row r="46" spans="1:12" ht="18" x14ac:dyDescent="0.35">
      <c r="K46" s="38" t="str">
        <f>IF(COUNTA(A40:A44)&gt;1,"","Call Rank:"&amp;L41)</f>
        <v>Call Rank:1</v>
      </c>
    </row>
    <row r="47" spans="1:12" ht="18" x14ac:dyDescent="0.35">
      <c r="A47" s="20" t="s">
        <v>1041</v>
      </c>
      <c r="B47" t="s">
        <v>1043</v>
      </c>
      <c r="D47" s="20" t="s">
        <v>1075</v>
      </c>
      <c r="E47" s="20" t="s">
        <v>1048</v>
      </c>
      <c r="K47" s="38" t="str">
        <f>IF(COUNTA(A40:A44)&gt;1,"","Amount Rank:"&amp;L42)</f>
        <v>Amount Rank:2</v>
      </c>
    </row>
    <row r="48" spans="1:12" x14ac:dyDescent="0.25">
      <c r="A48" s="21">
        <v>1</v>
      </c>
      <c r="B48" s="22">
        <v>3</v>
      </c>
      <c r="D48" s="20" t="s">
        <v>1041</v>
      </c>
      <c r="E48" t="s">
        <v>11</v>
      </c>
      <c r="F48" t="s">
        <v>9</v>
      </c>
      <c r="G48" t="s">
        <v>6</v>
      </c>
      <c r="H48" t="s">
        <v>13</v>
      </c>
      <c r="I48" t="s">
        <v>10</v>
      </c>
      <c r="J48" t="s">
        <v>1042</v>
      </c>
    </row>
    <row r="49" spans="1:10" x14ac:dyDescent="0.25">
      <c r="A49" s="21">
        <v>2</v>
      </c>
      <c r="B49" s="22">
        <v>19</v>
      </c>
      <c r="D49" s="21" t="s">
        <v>1002</v>
      </c>
    </row>
    <row r="50" spans="1:10" x14ac:dyDescent="0.25">
      <c r="A50" s="21">
        <v>3</v>
      </c>
      <c r="B50" s="22">
        <v>35</v>
      </c>
      <c r="D50" s="29" t="s">
        <v>20</v>
      </c>
      <c r="E50" s="23">
        <v>891</v>
      </c>
      <c r="F50" s="23">
        <v>1332</v>
      </c>
      <c r="G50" s="23">
        <v>1282</v>
      </c>
      <c r="H50" s="23">
        <v>739</v>
      </c>
      <c r="I50" s="23">
        <v>560</v>
      </c>
      <c r="J50" s="23">
        <v>4804</v>
      </c>
    </row>
    <row r="51" spans="1:10" x14ac:dyDescent="0.25">
      <c r="A51" s="21">
        <v>4</v>
      </c>
      <c r="B51" s="22">
        <v>87</v>
      </c>
      <c r="D51" s="29" t="s">
        <v>12</v>
      </c>
      <c r="E51" s="23">
        <v>1991</v>
      </c>
      <c r="F51" s="23">
        <v>1886</v>
      </c>
      <c r="G51" s="23">
        <v>1206</v>
      </c>
      <c r="H51" s="23">
        <v>884</v>
      </c>
      <c r="I51" s="23">
        <v>1722</v>
      </c>
      <c r="J51" s="23">
        <v>7689</v>
      </c>
    </row>
    <row r="52" spans="1:10" x14ac:dyDescent="0.25">
      <c r="A52" s="21">
        <v>5</v>
      </c>
      <c r="B52" s="22">
        <v>74</v>
      </c>
      <c r="D52" s="29" t="s">
        <v>8</v>
      </c>
      <c r="E52" s="23">
        <v>1163</v>
      </c>
      <c r="F52" s="23">
        <v>1180</v>
      </c>
      <c r="G52" s="23">
        <v>1616</v>
      </c>
      <c r="H52" s="23">
        <v>1043</v>
      </c>
      <c r="I52" s="23">
        <v>1747</v>
      </c>
      <c r="J52" s="23">
        <v>6749</v>
      </c>
    </row>
    <row r="53" spans="1:10" x14ac:dyDescent="0.25">
      <c r="A53" s="21" t="s">
        <v>1042</v>
      </c>
      <c r="B53" s="22">
        <v>218</v>
      </c>
      <c r="D53" s="29" t="s">
        <v>16</v>
      </c>
      <c r="E53" s="23">
        <v>1438</v>
      </c>
      <c r="F53" s="23">
        <v>1616</v>
      </c>
      <c r="G53" s="23">
        <v>866</v>
      </c>
      <c r="H53" s="23">
        <v>829</v>
      </c>
      <c r="I53" s="23">
        <v>2070</v>
      </c>
      <c r="J53" s="23">
        <v>6819</v>
      </c>
    </row>
    <row r="54" spans="1:10" x14ac:dyDescent="0.25">
      <c r="D54" s="21" t="s">
        <v>1001</v>
      </c>
    </row>
    <row r="55" spans="1:10" x14ac:dyDescent="0.25">
      <c r="D55" s="29" t="s">
        <v>24</v>
      </c>
      <c r="E55" s="23">
        <v>1233</v>
      </c>
      <c r="F55" s="23">
        <v>223</v>
      </c>
      <c r="G55" s="23">
        <v>1680</v>
      </c>
      <c r="H55" s="23">
        <v>990</v>
      </c>
      <c r="I55" s="23">
        <v>1508</v>
      </c>
      <c r="J55" s="23">
        <v>5634</v>
      </c>
    </row>
    <row r="56" spans="1:10" x14ac:dyDescent="0.25">
      <c r="D56" s="29" t="s">
        <v>15</v>
      </c>
      <c r="E56" s="23">
        <v>1598</v>
      </c>
      <c r="F56" s="23">
        <v>1907</v>
      </c>
      <c r="G56" s="23">
        <v>869</v>
      </c>
      <c r="H56" s="23">
        <v>1426</v>
      </c>
      <c r="I56" s="23">
        <v>1416</v>
      </c>
      <c r="J56" s="23">
        <v>7216</v>
      </c>
    </row>
    <row r="57" spans="1:10" x14ac:dyDescent="0.25">
      <c r="D57" s="29" t="s">
        <v>5</v>
      </c>
      <c r="E57" s="23">
        <v>900</v>
      </c>
      <c r="F57" s="23">
        <v>1016</v>
      </c>
      <c r="G57" s="23">
        <v>960</v>
      </c>
      <c r="H57" s="23">
        <v>940</v>
      </c>
      <c r="I57" s="23">
        <v>1193</v>
      </c>
      <c r="J57" s="23">
        <v>5009</v>
      </c>
    </row>
    <row r="58" spans="1:10" x14ac:dyDescent="0.25">
      <c r="D58" s="29" t="s">
        <v>18</v>
      </c>
      <c r="E58" s="23">
        <v>900</v>
      </c>
      <c r="F58" s="23">
        <v>1470</v>
      </c>
      <c r="G58" s="23">
        <v>1617</v>
      </c>
      <c r="H58" s="23">
        <v>1314</v>
      </c>
      <c r="I58" s="23">
        <v>941</v>
      </c>
      <c r="J58" s="23">
        <v>6242</v>
      </c>
    </row>
    <row r="59" spans="1:10" x14ac:dyDescent="0.25">
      <c r="D59" s="29" t="s">
        <v>14</v>
      </c>
      <c r="E59" s="23">
        <v>1255</v>
      </c>
      <c r="F59" s="23">
        <v>516</v>
      </c>
      <c r="G59" s="23">
        <v>1874</v>
      </c>
      <c r="H59" s="23">
        <v>1863</v>
      </c>
      <c r="I59" s="23">
        <v>1722</v>
      </c>
      <c r="J59" s="23">
        <v>7230</v>
      </c>
    </row>
    <row r="60" spans="1:10" x14ac:dyDescent="0.25">
      <c r="D60" s="29" t="s">
        <v>19</v>
      </c>
      <c r="E60" s="23">
        <v>1138</v>
      </c>
      <c r="F60" s="23">
        <v>1898</v>
      </c>
      <c r="G60" s="23">
        <v>1482</v>
      </c>
      <c r="H60" s="23">
        <v>846</v>
      </c>
      <c r="I60" s="23">
        <v>1154</v>
      </c>
      <c r="J60" s="23">
        <v>6518</v>
      </c>
    </row>
    <row r="61" spans="1:10" x14ac:dyDescent="0.25">
      <c r="D61" s="21" t="s">
        <v>1000</v>
      </c>
    </row>
    <row r="62" spans="1:10" x14ac:dyDescent="0.25">
      <c r="D62" s="29" t="s">
        <v>17</v>
      </c>
      <c r="E62" s="23">
        <v>1655</v>
      </c>
      <c r="F62" s="23">
        <v>805</v>
      </c>
      <c r="G62" s="23">
        <v>2263</v>
      </c>
      <c r="H62" s="23">
        <v>987</v>
      </c>
      <c r="I62" s="23">
        <v>1075</v>
      </c>
      <c r="J62" s="23">
        <v>6785</v>
      </c>
    </row>
    <row r="63" spans="1:10" x14ac:dyDescent="0.25">
      <c r="D63" s="29" t="s">
        <v>23</v>
      </c>
      <c r="E63" s="23">
        <v>1104</v>
      </c>
      <c r="F63" s="23">
        <v>2280</v>
      </c>
      <c r="G63" s="23">
        <v>1445</v>
      </c>
      <c r="H63" s="23">
        <v>1722</v>
      </c>
      <c r="I63" s="23">
        <v>1196</v>
      </c>
      <c r="J63" s="23">
        <v>7747</v>
      </c>
    </row>
    <row r="64" spans="1:10" x14ac:dyDescent="0.25">
      <c r="D64" s="29" t="s">
        <v>7</v>
      </c>
      <c r="E64" s="23">
        <v>372</v>
      </c>
      <c r="F64" s="23">
        <v>1818</v>
      </c>
      <c r="G64" s="23">
        <v>1346</v>
      </c>
      <c r="H64" s="23">
        <v>1156</v>
      </c>
      <c r="I64" s="23">
        <v>1484</v>
      </c>
      <c r="J64" s="23">
        <v>6176</v>
      </c>
    </row>
    <row r="65" spans="4:10" x14ac:dyDescent="0.25">
      <c r="D65" s="29" t="s">
        <v>22</v>
      </c>
      <c r="E65" s="23">
        <v>1415</v>
      </c>
      <c r="F65" s="23">
        <v>1271</v>
      </c>
      <c r="G65" s="23">
        <v>1214</v>
      </c>
      <c r="H65" s="23">
        <v>1135</v>
      </c>
      <c r="I65" s="23">
        <v>1566</v>
      </c>
      <c r="J65" s="23">
        <v>6601</v>
      </c>
    </row>
    <row r="66" spans="4:10" x14ac:dyDescent="0.25">
      <c r="D66" s="29" t="s">
        <v>21</v>
      </c>
      <c r="E66" s="23">
        <v>1362</v>
      </c>
      <c r="F66" s="23">
        <v>1363</v>
      </c>
      <c r="G66" s="23">
        <v>1152</v>
      </c>
      <c r="H66" s="23">
        <v>777</v>
      </c>
      <c r="I66" s="23">
        <v>750</v>
      </c>
      <c r="J66" s="23">
        <v>5404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459C-6509-4102-88F3-B0AAFB48242B}">
  <dimension ref="A1:Z36"/>
  <sheetViews>
    <sheetView tabSelected="1" topLeftCell="A7" zoomScale="86" zoomScaleNormal="86" workbookViewId="0">
      <selection activeCell="A5" sqref="A5"/>
    </sheetView>
  </sheetViews>
  <sheetFormatPr defaultRowHeight="13.8" x14ac:dyDescent="0.25"/>
  <cols>
    <col min="1" max="1" width="3.3984375" style="25" customWidth="1"/>
    <col min="2" max="2" width="3.5" style="25" customWidth="1"/>
    <col min="3" max="18" width="8.796875" style="25"/>
    <col min="19" max="19" width="11.19921875" style="25" customWidth="1"/>
    <col min="20" max="16384" width="8.796875" style="25"/>
  </cols>
  <sheetData>
    <row r="1" spans="1:26" ht="43.2" customHeight="1" x14ac:dyDescent="0.4">
      <c r="A1" s="25" t="s">
        <v>1040</v>
      </c>
      <c r="B1" s="40" t="s">
        <v>1083</v>
      </c>
      <c r="C1" s="41"/>
      <c r="D1" s="41"/>
      <c r="E1" s="41"/>
      <c r="F1" s="41"/>
      <c r="G1" s="41"/>
      <c r="H1" s="41"/>
      <c r="I1" s="41"/>
      <c r="J1" s="41"/>
      <c r="K1" s="41"/>
      <c r="L1" s="41"/>
      <c r="M1" s="41"/>
      <c r="N1" s="41"/>
      <c r="O1" s="41"/>
      <c r="P1" s="41"/>
      <c r="Q1" s="41"/>
      <c r="R1" s="41"/>
      <c r="S1" s="41"/>
      <c r="T1" s="41"/>
      <c r="U1" s="41"/>
      <c r="V1" s="41"/>
      <c r="W1" s="41"/>
      <c r="X1" s="41"/>
      <c r="Y1" s="41"/>
      <c r="Z1" s="41"/>
    </row>
    <row r="13" spans="1:26" x14ac:dyDescent="0.25">
      <c r="F13" s="26"/>
    </row>
    <row r="18" spans="16:25" x14ac:dyDescent="0.25">
      <c r="S18" s="33"/>
      <c r="T18" s="34" t="s">
        <v>11</v>
      </c>
      <c r="U18" s="34" t="s">
        <v>9</v>
      </c>
      <c r="V18" s="34" t="s">
        <v>6</v>
      </c>
      <c r="W18" s="34" t="s">
        <v>13</v>
      </c>
      <c r="X18" s="34" t="s">
        <v>10</v>
      </c>
      <c r="Y18" s="35" t="s">
        <v>1076</v>
      </c>
    </row>
    <row r="19" spans="16:25" ht="15.6" x14ac:dyDescent="0.3">
      <c r="S19" s="36" t="str" cm="1">
        <f t="array" ref="S19:Y36">IF(Pivots!D49:J66="","",Pivots!D49:J66)</f>
        <v>Cincinnati</v>
      </c>
      <c r="T19" s="31" t="str">
        <v/>
      </c>
      <c r="U19" s="31" t="str">
        <v/>
      </c>
      <c r="V19" s="31" t="str">
        <v/>
      </c>
      <c r="W19" s="31" t="str">
        <v/>
      </c>
      <c r="X19" s="31" t="str">
        <v/>
      </c>
      <c r="Y19" s="30" t="str">
        <v/>
      </c>
    </row>
    <row r="20" spans="16:25" ht="15" x14ac:dyDescent="0.25">
      <c r="S20" s="32" t="str">
        <v>C0003</v>
      </c>
      <c r="T20" s="31">
        <v>891</v>
      </c>
      <c r="U20" s="31">
        <v>1332</v>
      </c>
      <c r="V20" s="31">
        <v>1282</v>
      </c>
      <c r="W20" s="31">
        <v>739</v>
      </c>
      <c r="X20" s="31">
        <v>560</v>
      </c>
      <c r="Y20" s="30">
        <v>4804</v>
      </c>
    </row>
    <row r="21" spans="16:25" ht="15" x14ac:dyDescent="0.25">
      <c r="S21" s="32" t="str">
        <v>C0004</v>
      </c>
      <c r="T21" s="31">
        <v>1991</v>
      </c>
      <c r="U21" s="31">
        <v>1886</v>
      </c>
      <c r="V21" s="31">
        <v>1206</v>
      </c>
      <c r="W21" s="31">
        <v>884</v>
      </c>
      <c r="X21" s="31">
        <v>1722</v>
      </c>
      <c r="Y21" s="30">
        <v>7689</v>
      </c>
    </row>
    <row r="22" spans="16:25" ht="15" x14ac:dyDescent="0.25">
      <c r="S22" s="32" t="str">
        <v>C0011</v>
      </c>
      <c r="T22" s="31">
        <v>1163</v>
      </c>
      <c r="U22" s="31">
        <v>1180</v>
      </c>
      <c r="V22" s="31">
        <v>1616</v>
      </c>
      <c r="W22" s="31">
        <v>1043</v>
      </c>
      <c r="X22" s="31">
        <v>1747</v>
      </c>
      <c r="Y22" s="30">
        <v>6749</v>
      </c>
    </row>
    <row r="23" spans="16:25" ht="15" x14ac:dyDescent="0.25">
      <c r="S23" s="32" t="str">
        <v>C0012</v>
      </c>
      <c r="T23" s="31">
        <v>1438</v>
      </c>
      <c r="U23" s="31">
        <v>1616</v>
      </c>
      <c r="V23" s="31">
        <v>866</v>
      </c>
      <c r="W23" s="31">
        <v>829</v>
      </c>
      <c r="X23" s="31">
        <v>2070</v>
      </c>
      <c r="Y23" s="30">
        <v>6819</v>
      </c>
    </row>
    <row r="24" spans="16:25" ht="15.6" x14ac:dyDescent="0.3">
      <c r="S24" s="36" t="str">
        <v>Cleveland</v>
      </c>
      <c r="T24" s="31" t="str">
        <v/>
      </c>
      <c r="U24" s="31" t="str">
        <v/>
      </c>
      <c r="V24" s="31" t="str">
        <v/>
      </c>
      <c r="W24" s="31" t="str">
        <v/>
      </c>
      <c r="X24" s="31" t="str">
        <v/>
      </c>
      <c r="Y24" s="30" t="str">
        <v/>
      </c>
    </row>
    <row r="25" spans="16:25" ht="15" x14ac:dyDescent="0.25">
      <c r="S25" s="32" t="str">
        <v>C0002</v>
      </c>
      <c r="T25" s="31">
        <v>1233</v>
      </c>
      <c r="U25" s="31">
        <v>223</v>
      </c>
      <c r="V25" s="31">
        <v>1680</v>
      </c>
      <c r="W25" s="31">
        <v>990</v>
      </c>
      <c r="X25" s="31">
        <v>1508</v>
      </c>
      <c r="Y25" s="30">
        <v>5634</v>
      </c>
    </row>
    <row r="26" spans="16:25" ht="15" x14ac:dyDescent="0.25">
      <c r="S26" s="32" t="str">
        <v>C0007</v>
      </c>
      <c r="T26" s="31">
        <v>1598</v>
      </c>
      <c r="U26" s="31">
        <v>1907</v>
      </c>
      <c r="V26" s="31">
        <v>869</v>
      </c>
      <c r="W26" s="31">
        <v>1426</v>
      </c>
      <c r="X26" s="31">
        <v>1416</v>
      </c>
      <c r="Y26" s="30">
        <v>7216</v>
      </c>
    </row>
    <row r="27" spans="16:25" ht="15" x14ac:dyDescent="0.25">
      <c r="S27" s="32" t="str">
        <v>C0008</v>
      </c>
      <c r="T27" s="31">
        <v>900</v>
      </c>
      <c r="U27" s="31">
        <v>1016</v>
      </c>
      <c r="V27" s="31">
        <v>960</v>
      </c>
      <c r="W27" s="31">
        <v>940</v>
      </c>
      <c r="X27" s="31">
        <v>1193</v>
      </c>
      <c r="Y27" s="30">
        <v>5009</v>
      </c>
    </row>
    <row r="28" spans="16:25" ht="15" x14ac:dyDescent="0.25">
      <c r="S28" s="32" t="str">
        <v>C0010</v>
      </c>
      <c r="T28" s="31">
        <v>900</v>
      </c>
      <c r="U28" s="31">
        <v>1470</v>
      </c>
      <c r="V28" s="31">
        <v>1617</v>
      </c>
      <c r="W28" s="31">
        <v>1314</v>
      </c>
      <c r="X28" s="31">
        <v>941</v>
      </c>
      <c r="Y28" s="30">
        <v>6242</v>
      </c>
    </row>
    <row r="29" spans="16:25" ht="15" x14ac:dyDescent="0.25">
      <c r="S29" s="32" t="str">
        <v>C0013</v>
      </c>
      <c r="T29" s="31">
        <v>1255</v>
      </c>
      <c r="U29" s="31">
        <v>516</v>
      </c>
      <c r="V29" s="31">
        <v>1874</v>
      </c>
      <c r="W29" s="31">
        <v>1863</v>
      </c>
      <c r="X29" s="31">
        <v>1722</v>
      </c>
      <c r="Y29" s="30">
        <v>7230</v>
      </c>
    </row>
    <row r="30" spans="16:25" ht="15" x14ac:dyDescent="0.25">
      <c r="S30" s="32" t="str">
        <v>C0015</v>
      </c>
      <c r="T30" s="31">
        <v>1138</v>
      </c>
      <c r="U30" s="31">
        <v>1898</v>
      </c>
      <c r="V30" s="31">
        <v>1482</v>
      </c>
      <c r="W30" s="31">
        <v>846</v>
      </c>
      <c r="X30" s="31">
        <v>1154</v>
      </c>
      <c r="Y30" s="30">
        <v>6518</v>
      </c>
    </row>
    <row r="31" spans="16:25" ht="18" customHeight="1" x14ac:dyDescent="0.35">
      <c r="P31" s="39" t="str">
        <f>Pivots!K45</f>
        <v>% of calls:22%</v>
      </c>
      <c r="Q31" s="39"/>
      <c r="R31" s="39"/>
      <c r="S31" s="36" t="str">
        <v>Columbus</v>
      </c>
      <c r="T31" s="31" t="str">
        <v/>
      </c>
      <c r="U31" s="31" t="str">
        <v/>
      </c>
      <c r="V31" s="31" t="str">
        <v/>
      </c>
      <c r="W31" s="31" t="str">
        <v/>
      </c>
      <c r="X31" s="31" t="str">
        <v/>
      </c>
      <c r="Y31" s="30" t="str">
        <v/>
      </c>
    </row>
    <row r="32" spans="16:25" ht="18" customHeight="1" x14ac:dyDescent="0.35">
      <c r="P32" s="39" t="str">
        <f>Pivots!K46</f>
        <v>Call Rank:1</v>
      </c>
      <c r="Q32" s="39"/>
      <c r="R32" s="39"/>
      <c r="S32" s="32" t="str">
        <v>C0001</v>
      </c>
      <c r="T32" s="31">
        <v>1655</v>
      </c>
      <c r="U32" s="31">
        <v>805</v>
      </c>
      <c r="V32" s="31">
        <v>2263</v>
      </c>
      <c r="W32" s="31">
        <v>987</v>
      </c>
      <c r="X32" s="31">
        <v>1075</v>
      </c>
      <c r="Y32" s="30">
        <v>6785</v>
      </c>
    </row>
    <row r="33" spans="16:25" ht="18" customHeight="1" x14ac:dyDescent="0.35">
      <c r="P33" s="39" t="str">
        <f>Pivots!K47</f>
        <v>Amount Rank:2</v>
      </c>
      <c r="Q33" s="39"/>
      <c r="R33" s="39"/>
      <c r="S33" s="32" t="str">
        <v>C0005</v>
      </c>
      <c r="T33" s="31">
        <v>1104</v>
      </c>
      <c r="U33" s="31">
        <v>2280</v>
      </c>
      <c r="V33" s="31">
        <v>1445</v>
      </c>
      <c r="W33" s="31">
        <v>1722</v>
      </c>
      <c r="X33" s="31">
        <v>1196</v>
      </c>
      <c r="Y33" s="30">
        <v>7747</v>
      </c>
    </row>
    <row r="34" spans="16:25" ht="15" x14ac:dyDescent="0.25">
      <c r="S34" s="32" t="str">
        <v>C0006</v>
      </c>
      <c r="T34" s="31">
        <v>372</v>
      </c>
      <c r="U34" s="31">
        <v>1818</v>
      </c>
      <c r="V34" s="31">
        <v>1346</v>
      </c>
      <c r="W34" s="31">
        <v>1156</v>
      </c>
      <c r="X34" s="31">
        <v>1484</v>
      </c>
      <c r="Y34" s="30">
        <v>6176</v>
      </c>
    </row>
    <row r="35" spans="16:25" ht="15" x14ac:dyDescent="0.25">
      <c r="S35" s="32" t="str">
        <v>C0009</v>
      </c>
      <c r="T35" s="31">
        <v>1415</v>
      </c>
      <c r="U35" s="31">
        <v>1271</v>
      </c>
      <c r="V35" s="31">
        <v>1214</v>
      </c>
      <c r="W35" s="31">
        <v>1135</v>
      </c>
      <c r="X35" s="31">
        <v>1566</v>
      </c>
      <c r="Y35" s="30">
        <v>6601</v>
      </c>
    </row>
    <row r="36" spans="16:25" ht="15" x14ac:dyDescent="0.25">
      <c r="S36" s="32" t="str">
        <v>C0014</v>
      </c>
      <c r="T36" s="31">
        <v>1362</v>
      </c>
      <c r="U36" s="31">
        <v>1363</v>
      </c>
      <c r="V36" s="31">
        <v>1152</v>
      </c>
      <c r="W36" s="31">
        <v>777</v>
      </c>
      <c r="X36" s="31">
        <v>750</v>
      </c>
      <c r="Y36" s="30">
        <v>5404</v>
      </c>
    </row>
  </sheetData>
  <mergeCells count="4">
    <mergeCell ref="P31:R31"/>
    <mergeCell ref="P32:R32"/>
    <mergeCell ref="P33:R33"/>
    <mergeCell ref="B1:Z1"/>
  </mergeCells>
  <conditionalFormatting sqref="T20:X36">
    <cfRule type="dataBar" priority="2">
      <dataBar>
        <cfvo type="num" val="0"/>
        <cfvo type="formula" val="MAX($T$20:$X$36)*2"/>
        <color theme="1" tint="0.34998626667073579"/>
      </dataBar>
      <extLst>
        <ext xmlns:x14="http://schemas.microsoft.com/office/spreadsheetml/2009/9/main" uri="{B025F937-C7B1-47D3-B67F-A62EFF666E3E}">
          <x14:id>{7997DDF3-31F0-4BF4-B05E-E0DB33699624}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E0F69AA2-D09A-42E4-979B-925DCFE6F3DA}">
            <xm:f>T$18=Pivots!$A$40</xm:f>
            <x14:dxf>
              <fill>
                <patternFill>
                  <bgColor theme="8" tint="0.39994506668294322"/>
                </patternFill>
              </fill>
              <border>
                <left style="thin">
                  <color auto="1"/>
                </left>
                <right style="thin">
                  <color auto="1"/>
                </right>
                <vertical/>
                <horizontal/>
              </border>
            </x14:dxf>
          </x14:cfRule>
          <xm:sqref>T18:X36</xm:sqref>
        </x14:conditionalFormatting>
        <x14:conditionalFormatting xmlns:xm="http://schemas.microsoft.com/office/excel/2006/main">
          <x14:cfRule type="dataBar" id="{7997DDF3-31F0-4BF4-B05E-E0DB33699624}">
            <x14:dataBar minLength="0" maxLength="100" gradient="0">
              <x14:cfvo type="num">
                <xm:f>0</xm:f>
              </x14:cfvo>
              <x14:cfvo type="formula">
                <xm:f>MAX($T$20:$X$36)*2</xm:f>
              </x14:cfvo>
              <x14:negativeFillColor rgb="FFFF0000"/>
              <x14:axisColor rgb="FF000000"/>
            </x14:dataBar>
          </x14:cfRule>
          <xm:sqref>T20:X36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Customer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Mohd Rahil</cp:lastModifiedBy>
  <dcterms:created xsi:type="dcterms:W3CDTF">2021-03-14T20:21:32Z</dcterms:created>
  <dcterms:modified xsi:type="dcterms:W3CDTF">2025-10-23T19:53:36Z</dcterms:modified>
</cp:coreProperties>
</file>